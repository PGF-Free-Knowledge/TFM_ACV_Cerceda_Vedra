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GF\Documents\"/>
    </mc:Choice>
  </mc:AlternateContent>
  <xr:revisionPtr revIDLastSave="0" documentId="13_ncr:1_{860E09F8-6EAE-4E64-AF46-C1CDE0850FC8}" xr6:coauthVersionLast="47" xr6:coauthVersionMax="47" xr10:uidLastSave="{00000000-0000-0000-0000-000000000000}"/>
  <bookViews>
    <workbookView xWindow="0" yWindow="0" windowWidth="14400" windowHeight="15600" firstSheet="5" activeTab="5" xr2:uid="{00000000-000D-0000-FFFF-FFFF00000000}"/>
  </bookViews>
  <sheets>
    <sheet name="Cerceda_1habeq_ReCiPe" sheetId="1" r:id="rId1"/>
    <sheet name="Cerceda_1kgPO4eq_ReCiPe" sheetId="2" r:id="rId2"/>
    <sheet name="Vedra_1habeq_ReCiPe" sheetId="3" r:id="rId3"/>
    <sheet name="Vedra_1kgPO4eq_ReCiPe" sheetId="4" r:id="rId4"/>
    <sheet name="Final normalization scores No I" sheetId="5" r:id="rId5"/>
    <sheet name="Evaluación de Impacto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7" l="1"/>
  <c r="D38" i="7"/>
  <c r="D39" i="7"/>
  <c r="D40" i="7"/>
  <c r="D41" i="7"/>
  <c r="D36" i="7"/>
  <c r="C37" i="7"/>
  <c r="C38" i="7"/>
  <c r="C39" i="7"/>
  <c r="C40" i="7"/>
  <c r="C41" i="7"/>
  <c r="C36" i="7"/>
  <c r="D24" i="7"/>
  <c r="C24" i="7"/>
  <c r="B17" i="7"/>
  <c r="B26" i="7" s="1"/>
  <c r="B18" i="7"/>
  <c r="B27" i="7" s="1"/>
  <c r="B19" i="7"/>
  <c r="B28" i="7" s="1"/>
  <c r="B20" i="7"/>
  <c r="B29" i="7" s="1"/>
  <c r="B21" i="7"/>
  <c r="B30" i="7" s="1"/>
  <c r="B16" i="7"/>
  <c r="B25" i="7" s="1"/>
  <c r="B14" i="7"/>
  <c r="B23" i="7" s="1"/>
  <c r="F7" i="7"/>
  <c r="F156" i="7" s="1"/>
  <c r="F8" i="7"/>
  <c r="F157" i="7" s="1"/>
  <c r="F9" i="7"/>
  <c r="F158" i="7" s="1"/>
  <c r="F10" i="7"/>
  <c r="F159" i="7" s="1"/>
  <c r="F11" i="7"/>
  <c r="F160" i="7" s="1"/>
  <c r="F12" i="7"/>
  <c r="F161" i="7" s="1"/>
  <c r="F6" i="7"/>
  <c r="F155" i="7" s="1"/>
  <c r="E7" i="7"/>
  <c r="E8" i="7"/>
  <c r="E9" i="7"/>
  <c r="E10" i="7"/>
  <c r="E11" i="7"/>
  <c r="E12" i="7"/>
  <c r="E161" i="7" s="1"/>
  <c r="E6" i="7"/>
  <c r="C7" i="7"/>
  <c r="C8" i="7"/>
  <c r="C9" i="7"/>
  <c r="C10" i="7"/>
  <c r="C11" i="7"/>
  <c r="C12" i="7"/>
  <c r="C161" i="7" s="1"/>
  <c r="C6" i="7"/>
  <c r="C16" i="7" s="1"/>
  <c r="D17" i="7" l="1"/>
  <c r="E156" i="7"/>
  <c r="D18" i="7"/>
  <c r="E157" i="7"/>
  <c r="D19" i="7"/>
  <c r="E158" i="7"/>
  <c r="D20" i="7"/>
  <c r="E159" i="7"/>
  <c r="D21" i="7"/>
  <c r="E160" i="7"/>
  <c r="D16" i="7"/>
  <c r="D25" i="7" s="1"/>
  <c r="E155" i="7"/>
  <c r="C17" i="7"/>
  <c r="C156" i="7"/>
  <c r="C18" i="7"/>
  <c r="C157" i="7"/>
  <c r="C158" i="7"/>
  <c r="C19" i="7"/>
  <c r="C20" i="7"/>
  <c r="C159" i="7"/>
  <c r="C21" i="7"/>
  <c r="C30" i="7" s="1"/>
  <c r="C160" i="7"/>
  <c r="C155" i="7"/>
  <c r="J18" i="4"/>
  <c r="J19" i="4"/>
  <c r="J20" i="4"/>
  <c r="J21" i="4"/>
  <c r="J22" i="4"/>
  <c r="J23" i="4"/>
  <c r="J24" i="4"/>
  <c r="K24" i="4" s="1"/>
  <c r="B40" i="4" s="1"/>
  <c r="J25" i="4"/>
  <c r="K25" i="4" s="1"/>
  <c r="B41" i="4" s="1"/>
  <c r="J26" i="4"/>
  <c r="K26" i="4" s="1"/>
  <c r="B42" i="4" s="1"/>
  <c r="J27" i="4"/>
  <c r="K27" i="4" s="1"/>
  <c r="B43" i="4" s="1"/>
  <c r="J28" i="4"/>
  <c r="K28" i="4" s="1"/>
  <c r="B44" i="4" s="1"/>
  <c r="J29" i="4"/>
  <c r="J30" i="4"/>
  <c r="K30" i="4" s="1"/>
  <c r="J31" i="4"/>
  <c r="J32" i="4"/>
  <c r="J33" i="4"/>
  <c r="J34" i="4"/>
  <c r="K34" i="4" s="1"/>
  <c r="B45" i="4" s="1"/>
  <c r="J17" i="4"/>
  <c r="K17" i="4" s="1"/>
  <c r="B39" i="4" s="1"/>
  <c r="J17" i="3"/>
  <c r="K17" i="3" s="1"/>
  <c r="B39" i="3" s="1"/>
  <c r="J18" i="3"/>
  <c r="J19" i="3"/>
  <c r="J20" i="3"/>
  <c r="J21" i="3"/>
  <c r="J22" i="3"/>
  <c r="J23" i="3"/>
  <c r="J24" i="3"/>
  <c r="K24" i="3" s="1"/>
  <c r="B40" i="3" s="1"/>
  <c r="J25" i="3"/>
  <c r="K25" i="3" s="1"/>
  <c r="B41" i="3" s="1"/>
  <c r="J26" i="3"/>
  <c r="K26" i="3" s="1"/>
  <c r="B42" i="3" s="1"/>
  <c r="J27" i="3"/>
  <c r="K27" i="3" s="1"/>
  <c r="B43" i="3" s="1"/>
  <c r="J28" i="3"/>
  <c r="K28" i="3" s="1"/>
  <c r="B44" i="3" s="1"/>
  <c r="J29" i="3"/>
  <c r="J30" i="3"/>
  <c r="K30" i="3" s="1"/>
  <c r="J31" i="3"/>
  <c r="J32" i="3"/>
  <c r="J33" i="3"/>
  <c r="J34" i="3"/>
  <c r="K34" i="3" s="1"/>
  <c r="B45" i="3" s="1"/>
  <c r="L18" i="2"/>
  <c r="L19" i="2"/>
  <c r="L20" i="2"/>
  <c r="L21" i="2"/>
  <c r="L22" i="2"/>
  <c r="L23" i="2"/>
  <c r="L24" i="2"/>
  <c r="M24" i="2" s="1"/>
  <c r="B40" i="2" s="1"/>
  <c r="D7" i="7" s="1"/>
  <c r="D156" i="7" s="1"/>
  <c r="L25" i="2"/>
  <c r="M25" i="2" s="1"/>
  <c r="B41" i="2" s="1"/>
  <c r="D8" i="7" s="1"/>
  <c r="D157" i="7" s="1"/>
  <c r="L26" i="2"/>
  <c r="M26" i="2" s="1"/>
  <c r="B42" i="2" s="1"/>
  <c r="D9" i="7" s="1"/>
  <c r="D158" i="7" s="1"/>
  <c r="L27" i="2"/>
  <c r="M27" i="2" s="1"/>
  <c r="B43" i="2" s="1"/>
  <c r="D10" i="7" s="1"/>
  <c r="D159" i="7" s="1"/>
  <c r="L28" i="2"/>
  <c r="M28" i="2" s="1"/>
  <c r="B44" i="2" s="1"/>
  <c r="D11" i="7" s="1"/>
  <c r="D160" i="7" s="1"/>
  <c r="L29" i="2"/>
  <c r="L30" i="2"/>
  <c r="M30" i="2" s="1"/>
  <c r="L31" i="2"/>
  <c r="L32" i="2"/>
  <c r="L33" i="2"/>
  <c r="L34" i="2"/>
  <c r="M34" i="2" s="1"/>
  <c r="B45" i="2" s="1"/>
  <c r="D12" i="7" s="1"/>
  <c r="D161" i="7" s="1"/>
  <c r="L17" i="2"/>
  <c r="M17" i="2" s="1"/>
  <c r="B39" i="2" s="1"/>
  <c r="D6" i="7" s="1"/>
  <c r="D155" i="7" s="1"/>
  <c r="L17" i="1"/>
  <c r="M17" i="1" s="1"/>
  <c r="B39" i="1" s="1"/>
  <c r="L18" i="1"/>
  <c r="L19" i="1"/>
  <c r="L20" i="1"/>
  <c r="L21" i="1"/>
  <c r="L22" i="1"/>
  <c r="L23" i="1"/>
  <c r="L24" i="1"/>
  <c r="M24" i="1" s="1"/>
  <c r="B40" i="1" s="1"/>
  <c r="L25" i="1"/>
  <c r="M25" i="1" s="1"/>
  <c r="B41" i="1" s="1"/>
  <c r="L26" i="1"/>
  <c r="M26" i="1" s="1"/>
  <c r="B42" i="1" s="1"/>
  <c r="L27" i="1"/>
  <c r="M27" i="1" s="1"/>
  <c r="B43" i="1" s="1"/>
  <c r="L28" i="1"/>
  <c r="M28" i="1" s="1"/>
  <c r="B44" i="1" s="1"/>
  <c r="L29" i="1"/>
  <c r="L30" i="1"/>
  <c r="M30" i="1" s="1"/>
  <c r="L31" i="1"/>
  <c r="L32" i="1"/>
  <c r="L33" i="1"/>
  <c r="L34" i="1"/>
  <c r="M34" i="1" s="1"/>
  <c r="B45" i="1" s="1"/>
  <c r="D26" i="7" l="1"/>
  <c r="D27" i="7"/>
  <c r="D28" i="7"/>
  <c r="D29" i="7"/>
  <c r="D30" i="7"/>
  <c r="C26" i="7"/>
  <c r="C27" i="7"/>
  <c r="C28" i="7"/>
  <c r="C29" i="7"/>
  <c r="C25" i="7"/>
</calcChain>
</file>

<file path=xl/sharedStrings.xml><?xml version="1.0" encoding="utf-8"?>
<sst xmlns="http://schemas.openxmlformats.org/spreadsheetml/2006/main" count="488" uniqueCount="156">
  <si>
    <t>SimaPro 10.3.0.1</t>
  </si>
  <si>
    <t/>
  </si>
  <si>
    <t>Date:</t>
  </si>
  <si>
    <t>Time:</t>
  </si>
  <si>
    <t>Project</t>
  </si>
  <si>
    <t>Alberto Fraile</t>
  </si>
  <si>
    <t xml:space="preserve">Calculation: </t>
  </si>
  <si>
    <t>Analyze</t>
  </si>
  <si>
    <t xml:space="preserve">Results: </t>
  </si>
  <si>
    <t>Impact assessment</t>
  </si>
  <si>
    <t xml:space="preserve">Product: </t>
  </si>
  <si>
    <t>1 p Cerceda_1hab-eq (of project Alberto Fraile)</t>
  </si>
  <si>
    <t xml:space="preserve">Method: </t>
  </si>
  <si>
    <t>ReCiPe 2016 Midpoint (H) V1.12 / World (2010) H</t>
  </si>
  <si>
    <t xml:space="preserve">Indicator: </t>
  </si>
  <si>
    <t>Characterization</t>
  </si>
  <si>
    <t xml:space="preserve">Skip categories: </t>
  </si>
  <si>
    <t>Never</t>
  </si>
  <si>
    <t xml:space="preserve">Exclude infrastructure processes: </t>
  </si>
  <si>
    <t>No</t>
  </si>
  <si>
    <t xml:space="preserve">Exclude long-term emissions: </t>
  </si>
  <si>
    <t xml:space="preserve">Sorted on item: </t>
  </si>
  <si>
    <t>Impact category</t>
  </si>
  <si>
    <t xml:space="preserve">Sort order: </t>
  </si>
  <si>
    <t>Ascending</t>
  </si>
  <si>
    <t>Unit</t>
  </si>
  <si>
    <t>Total</t>
  </si>
  <si>
    <t>Polyacrylamide {GLO}| market for polyacrylamide | Cut-off, U</t>
  </si>
  <si>
    <t>Electricity, high voltage {ES}| market for electricity, high voltage | Cut-off, U</t>
  </si>
  <si>
    <t>Wastewater, unpolluted {RoW}| market for wastewater, unpolluted | Cut-off, U</t>
  </si>
  <si>
    <t>Sewage sludge, dried {RoW}| market for sewage sludge, dried | Cut-off, U</t>
  </si>
  <si>
    <t>Inert waste {RoW}| market for inert waste | Cut-off, S - Copied from ecoinvent U</t>
  </si>
  <si>
    <t>Municipal solid waste {ES}| market for municipal solid waste | Cut-off, U</t>
  </si>
  <si>
    <t>Residues, MSWI, biowaste {GLO}| market for residues, MSWI, biowaste | Cut-off, U</t>
  </si>
  <si>
    <t>Global warming</t>
  </si>
  <si>
    <t>kg CO2 eq</t>
  </si>
  <si>
    <t>Stratospheric ozone depletion</t>
  </si>
  <si>
    <t>kg CFC11 eq</t>
  </si>
  <si>
    <t>Ionizing radiation</t>
  </si>
  <si>
    <t>kBq Co-60 eq</t>
  </si>
  <si>
    <t>Ozone formation, Human health</t>
  </si>
  <si>
    <t>kg NOx eq</t>
  </si>
  <si>
    <t>Fine particulate matter formation</t>
  </si>
  <si>
    <t>kg PM2.5 eq</t>
  </si>
  <si>
    <t>Ozone formation, Terrestrial ecosystems</t>
  </si>
  <si>
    <t>Terrestrial acidification</t>
  </si>
  <si>
    <t>kg SO2 eq</t>
  </si>
  <si>
    <t>Freshwater eutrophication</t>
  </si>
  <si>
    <t>kg P eq</t>
  </si>
  <si>
    <t>Marine eutrophication</t>
  </si>
  <si>
    <t>kg N eq</t>
  </si>
  <si>
    <t>Terrestrial ecotoxicity</t>
  </si>
  <si>
    <t>kg 1,4-DCB</t>
  </si>
  <si>
    <t>Freshwater ecotoxicity</t>
  </si>
  <si>
    <t>Marine ecotoxicity</t>
  </si>
  <si>
    <t>Human carcinogenic toxicity</t>
  </si>
  <si>
    <t>Human non-carcinogenic toxicity</t>
  </si>
  <si>
    <t>Land use</t>
  </si>
  <si>
    <t>m2a crop eq</t>
  </si>
  <si>
    <t>Mineral resource scarcity</t>
  </si>
  <si>
    <t>kg Cu eq</t>
  </si>
  <si>
    <t>Fossil resource scarcity</t>
  </si>
  <si>
    <t>kg oil eq</t>
  </si>
  <si>
    <t>Water consumption</t>
  </si>
  <si>
    <t>m3</t>
  </si>
  <si>
    <t>Cerceda_1hab-eq emisiones directas</t>
  </si>
  <si>
    <t>Normalization</t>
  </si>
  <si>
    <t>Cerceda_1kgPO4-eq</t>
  </si>
  <si>
    <t>1 kg Cerceda_1kgPO4-eq (of project Alberto Fraile)</t>
  </si>
  <si>
    <t>Sewage sludge, 97% water, WWT-SLF, municipal solid waste {ES}| market for sewage sludge, 97% water, WWT-SLF, municipal solid waste | Cut-off, U</t>
  </si>
  <si>
    <t>Electricity, medium voltage {ES}| market for electricity, medium voltage | Cut-off, U</t>
  </si>
  <si>
    <t>Methanol {RER}| market for methanol | Cut-off, U</t>
  </si>
  <si>
    <t>Polyaluminium chloride {GLO}| market for polyaluminium chloride | Cut-off, U</t>
  </si>
  <si>
    <t>Vedra_1hab-eq</t>
  </si>
  <si>
    <t>1 p Vedra_1hab-eq (of project Alberto Fraile)</t>
  </si>
  <si>
    <t>Vedra_1kgPO4-eq</t>
  </si>
  <si>
    <t>1 kg Vedra_1kgPO4-eq (of project Alberto Fraile)</t>
  </si>
  <si>
    <t>World population</t>
  </si>
  <si>
    <t>oil-eq per person in 2010</t>
  </si>
  <si>
    <t>Peat</t>
  </si>
  <si>
    <t>Brown coal</t>
  </si>
  <si>
    <t>Hard coal</t>
  </si>
  <si>
    <t>Natural gas</t>
  </si>
  <si>
    <t>Crude oil</t>
  </si>
  <si>
    <t>USD2013 per person in 2010</t>
  </si>
  <si>
    <t>kg Cu-eq per person in 2010</t>
  </si>
  <si>
    <t>Resources</t>
  </si>
  <si>
    <t>Species.year per person in 2011</t>
  </si>
  <si>
    <t>kg N to marine water equivalents per person in 2010</t>
  </si>
  <si>
    <t>Eutrophication - marine ecosystems</t>
  </si>
  <si>
    <t>Species.year per person in 2010</t>
  </si>
  <si>
    <t>kg 1,4-DBC emitted to sea water eq. per person in 2010</t>
  </si>
  <si>
    <t>Toxicity - Marine ecosystems</t>
  </si>
  <si>
    <t>Marine ecosystems</t>
  </si>
  <si>
    <t>m3 consumed per person in 2010</t>
  </si>
  <si>
    <t>Water consumption -aquatic ecosystems</t>
  </si>
  <si>
    <t>kg 1,4-DBC emitted to freshwater eq. per person in 2010</t>
  </si>
  <si>
    <t>Toxicity - Freshwater ecosystems</t>
  </si>
  <si>
    <t>kg P to freshwater eq. per person in 2010</t>
  </si>
  <si>
    <t>Eutrophication - Freshwater ecosystems</t>
  </si>
  <si>
    <t>kg CO2 eq. per person in 2010</t>
  </si>
  <si>
    <t>Global Warming - Freshwater ecosystems</t>
  </si>
  <si>
    <t>Freshwater ecosystems</t>
  </si>
  <si>
    <t>m2∙annual crop eq per person in 2010</t>
  </si>
  <si>
    <t xml:space="preserve">Land use - occupation </t>
  </si>
  <si>
    <t>Water consumption - terrestrial ecosystems</t>
  </si>
  <si>
    <t>kg 1,4-DBC emitted to industrial soil eq. per person in 2010</t>
  </si>
  <si>
    <t>Toxicity - Terrestrial ecosystems</t>
  </si>
  <si>
    <t>kg SO2 eq. per person in 2010</t>
  </si>
  <si>
    <t>Acidification - Terrestrial ecosystems</t>
  </si>
  <si>
    <t>kg NOx eq. per person in 2010</t>
  </si>
  <si>
    <t>Photochemical ozone formation - Terrestrial ecosystems</t>
  </si>
  <si>
    <t>Global Warming - Terrestrial ecosystems</t>
  </si>
  <si>
    <t>Terrestrial ecosystems</t>
  </si>
  <si>
    <t>DALY per person in 2010</t>
  </si>
  <si>
    <t>Water consumption - human health</t>
  </si>
  <si>
    <t>kg 1,4-DCB emitted to urban air eq. per person in 2010</t>
  </si>
  <si>
    <t>Toxicity - Human health (non-cancer)</t>
  </si>
  <si>
    <t>Toxicity - Human health (cancer)</t>
  </si>
  <si>
    <t>Photochemical ozone formation - Human health</t>
  </si>
  <si>
    <t>kg PM2.5 eq. per person in 2010</t>
  </si>
  <si>
    <t>Fine particulate matter formation - Human health</t>
  </si>
  <si>
    <t>kBq Co-60 emitted to air eq. per person in 2010</t>
  </si>
  <si>
    <t>Ionzing Radiation - Human health</t>
  </si>
  <si>
    <t>kg CFC11 eq. per person in 2010</t>
  </si>
  <si>
    <t>Stratospheric ozone depletion - Human health</t>
  </si>
  <si>
    <t>Global Warming - Human health</t>
  </si>
  <si>
    <t>Egalitarian</t>
  </si>
  <si>
    <t>Hierarchic</t>
  </si>
  <si>
    <t>Individualistic</t>
  </si>
  <si>
    <t>Human health</t>
  </si>
  <si>
    <t>World</t>
  </si>
  <si>
    <t>unit</t>
  </si>
  <si>
    <t>Endpoint</t>
  </si>
  <si>
    <t>Midpoint</t>
  </si>
  <si>
    <t>Total w/o wastewater</t>
  </si>
  <si>
    <t>GWP</t>
  </si>
  <si>
    <t>FEU</t>
  </si>
  <si>
    <t>MEU</t>
  </si>
  <si>
    <t>TET</t>
  </si>
  <si>
    <t>FET</t>
  </si>
  <si>
    <t>MET</t>
  </si>
  <si>
    <t>WU</t>
  </si>
  <si>
    <t>Normalized impacts</t>
  </si>
  <si>
    <t>C hab eq</t>
  </si>
  <si>
    <t>C kg PO4 eq</t>
  </si>
  <si>
    <t>V hab eq</t>
  </si>
  <si>
    <t>V kg PO4 eq</t>
  </si>
  <si>
    <t>logaritmización!</t>
  </si>
  <si>
    <t>No coonsidera Ian</t>
  </si>
  <si>
    <t>Nueva sumatoria considerada x Ian</t>
  </si>
  <si>
    <t>Con factor</t>
  </si>
  <si>
    <t>porque ya la habia considerado en emisiones directas</t>
  </si>
  <si>
    <t>Cerceda</t>
  </si>
  <si>
    <t>Vedra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</si>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</sst>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"/>
    <numFmt numFmtId="165" formatCode="0.0000000"/>
    <numFmt numFmtId="166" formatCode="0.000000"/>
    <numFmt numFmtId="167" formatCode="0.00000"/>
    <numFmt numFmtId="168" formatCode="0.0000"/>
    <numFmt numFmtId="169" formatCode="0.000"/>
    <numFmt numFmtId="170" formatCode="0.0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168" fontId="0" fillId="2" borderId="0" xfId="0" applyNumberFormat="1" applyFill="1"/>
    <xf numFmtId="167" fontId="0" fillId="2" borderId="0" xfId="0" applyNumberFormat="1" applyFill="1"/>
    <xf numFmtId="166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1" fontId="0" fillId="0" borderId="0" xfId="0" applyNumberFormat="1"/>
    <xf numFmtId="2" fontId="0" fillId="3" borderId="0" xfId="0" applyNumberFormat="1" applyFill="1"/>
    <xf numFmtId="167" fontId="0" fillId="3" borderId="0" xfId="0" applyNumberFormat="1" applyFill="1"/>
    <xf numFmtId="0" fontId="1" fillId="0" borderId="0" xfId="1"/>
    <xf numFmtId="0" fontId="1" fillId="0" borderId="0" xfId="1" applyAlignment="1">
      <alignment horizontal="center"/>
    </xf>
    <xf numFmtId="11" fontId="1" fillId="0" borderId="0" xfId="1" applyNumberFormat="1"/>
    <xf numFmtId="11" fontId="1" fillId="0" borderId="0" xfId="1" applyNumberFormat="1" applyAlignment="1">
      <alignment horizontal="center"/>
    </xf>
    <xf numFmtId="0" fontId="2" fillId="0" borderId="0" xfId="1" applyFont="1"/>
    <xf numFmtId="0" fontId="3" fillId="0" borderId="0" xfId="1" applyFont="1"/>
    <xf numFmtId="11" fontId="2" fillId="0" borderId="0" xfId="1" applyNumberFormat="1" applyFont="1" applyAlignment="1">
      <alignment horizontal="center"/>
    </xf>
    <xf numFmtId="0" fontId="1" fillId="0" borderId="0" xfId="1" applyAlignment="1">
      <alignment vertical="center"/>
    </xf>
    <xf numFmtId="0" fontId="4" fillId="0" borderId="0" xfId="1" applyFont="1"/>
    <xf numFmtId="2" fontId="1" fillId="0" borderId="0" xfId="1" applyNumberFormat="1"/>
    <xf numFmtId="0" fontId="1" fillId="0" borderId="0" xfId="1" applyAlignment="1">
      <alignment horizontal="right"/>
    </xf>
    <xf numFmtId="11" fontId="5" fillId="0" borderId="0" xfId="1" applyNumberFormat="1" applyFont="1" applyAlignment="1">
      <alignment horizontal="center" wrapText="1"/>
    </xf>
    <xf numFmtId="0" fontId="1" fillId="0" borderId="0" xfId="1" applyAlignment="1">
      <alignment horizontal="justify" vertical="top" wrapText="1"/>
    </xf>
    <xf numFmtId="11" fontId="1" fillId="0" borderId="0" xfId="1" applyNumberFormat="1" applyAlignment="1">
      <alignment horizontal="center" wrapText="1"/>
    </xf>
    <xf numFmtId="11" fontId="5" fillId="0" borderId="0" xfId="1" applyNumberFormat="1" applyFont="1" applyAlignment="1">
      <alignment horizontal="center" vertical="top" wrapText="1"/>
    </xf>
    <xf numFmtId="0" fontId="5" fillId="0" borderId="0" xfId="1" applyFont="1" applyAlignment="1">
      <alignment horizontal="justify" vertical="top" wrapText="1"/>
    </xf>
    <xf numFmtId="0" fontId="3" fillId="0" borderId="0" xfId="1" applyFont="1" applyAlignment="1">
      <alignment horizontal="center"/>
    </xf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170" fontId="0" fillId="4" borderId="0" xfId="0" applyNumberFormat="1" applyFill="1"/>
    <xf numFmtId="1" fontId="0" fillId="4" borderId="0" xfId="0" applyNumberFormat="1" applyFill="1"/>
    <xf numFmtId="169" fontId="0" fillId="4" borderId="0" xfId="0" applyNumberFormat="1" applyFill="1"/>
    <xf numFmtId="0" fontId="0" fillId="0" borderId="1" xfId="0" applyBorder="1"/>
    <xf numFmtId="2" fontId="0" fillId="2" borderId="1" xfId="0" applyNumberFormat="1" applyFill="1" applyBorder="1"/>
    <xf numFmtId="2" fontId="0" fillId="0" borderId="1" xfId="0" applyNumberFormat="1" applyBorder="1"/>
    <xf numFmtId="2" fontId="0" fillId="4" borderId="1" xfId="0" applyNumberFormat="1" applyFill="1" applyBorder="1"/>
    <xf numFmtId="168" fontId="0" fillId="0" borderId="1" xfId="0" applyNumberFormat="1" applyBorder="1"/>
    <xf numFmtId="165" fontId="0" fillId="2" borderId="1" xfId="0" applyNumberFormat="1" applyFill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0" xfId="0" applyFont="1"/>
  </cellXfs>
  <cellStyles count="2">
    <cellStyle name="Normal" xfId="0" builtinId="0"/>
    <cellStyle name="Normal 2" xfId="1" xr:uid="{B26A345D-8EB5-5E4E-A188-CC8A5E29B0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Cerceda_1habeq_ReCiPe!$C$39:$C$45</c:f>
              <c:strCache>
                <c:ptCount val="7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  <c:pt idx="6">
                  <c:v>WU</c:v>
                </c:pt>
              </c:strCache>
            </c:strRef>
          </c:cat>
          <c:val>
            <c:numRef>
              <c:f>Cerceda_1habeq_ReCiPe!$B$39:$B$45</c:f>
              <c:numCache>
                <c:formatCode>0.00E+00</c:formatCode>
                <c:ptCount val="7"/>
                <c:pt idx="0">
                  <c:v>5.2493077970682748E-4</c:v>
                </c:pt>
                <c:pt idx="1">
                  <c:v>1.4255040368743772E-2</c:v>
                </c:pt>
                <c:pt idx="2">
                  <c:v>2.0665210911652958E-3</c:v>
                </c:pt>
                <c:pt idx="3">
                  <c:v>1.6047439313932057E-4</c:v>
                </c:pt>
                <c:pt idx="4">
                  <c:v>0.10095001411493257</c:v>
                </c:pt>
                <c:pt idx="5">
                  <c:v>7.4335648927955661E-2</c:v>
                </c:pt>
                <c:pt idx="6">
                  <c:v>-4.2814419690206848E-6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D-2F46-9000-2E1EB0B2F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611183"/>
        <c:axId val="1991703984"/>
      </c:barChart>
      <c:catAx>
        <c:axId val="4466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03984"/>
        <c:crosses val="autoZero"/>
        <c:auto val="1"/>
        <c:lblAlgn val="ctr"/>
        <c:lblOffset val="100"/>
        <c:noMultiLvlLbl val="0"/>
      </c:catAx>
      <c:valAx>
        <c:axId val="19917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1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Impactos</a:t>
            </a:r>
            <a:r>
              <a:rPr lang="en-GB" baseline="0"/>
              <a:t> normalizados de la EDAR de Cerceda (kg PO4 eq)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Cerceda_1kgPO4eq_ReCiPe!$C$39:$C$45</c:f>
              <c:strCache>
                <c:ptCount val="7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  <c:pt idx="6">
                  <c:v>WU</c:v>
                </c:pt>
              </c:strCache>
            </c:strRef>
          </c:cat>
          <c:val>
            <c:numRef>
              <c:f>Cerceda_1kgPO4eq_ReCiPe!$B$39:$B$45</c:f>
              <c:numCache>
                <c:formatCode>0.00E+00</c:formatCode>
                <c:ptCount val="7"/>
                <c:pt idx="0">
                  <c:v>6.2457038473821377E-2</c:v>
                </c:pt>
                <c:pt idx="1">
                  <c:v>1.7147385844429743</c:v>
                </c:pt>
                <c:pt idx="2">
                  <c:v>0.24869881864834056</c:v>
                </c:pt>
                <c:pt idx="3">
                  <c:v>1.9311178911338291E-2</c:v>
                </c:pt>
                <c:pt idx="4">
                  <c:v>12.147101237430817</c:v>
                </c:pt>
                <c:pt idx="5">
                  <c:v>8.9446510659689142</c:v>
                </c:pt>
                <c:pt idx="6">
                  <c:v>-5.1452007483626324E-4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8-7248-A081-D81114006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3102400"/>
        <c:axId val="1752424528"/>
      </c:barChart>
      <c:catAx>
        <c:axId val="175310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424528"/>
        <c:crosses val="autoZero"/>
        <c:auto val="1"/>
        <c:lblAlgn val="ctr"/>
        <c:lblOffset val="100"/>
        <c:noMultiLvlLbl val="0"/>
      </c:catAx>
      <c:valAx>
        <c:axId val="175242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10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Vedra_1habeq_ReCiPe!$C$39:$C$45</c:f>
              <c:strCache>
                <c:ptCount val="7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  <c:pt idx="6">
                  <c:v>WU</c:v>
                </c:pt>
              </c:strCache>
            </c:strRef>
          </c:cat>
          <c:val>
            <c:numRef>
              <c:f>Vedra_1habeq_ReCiPe!$B$39:$B$45</c:f>
              <c:numCache>
                <c:formatCode>0.00E+00</c:formatCode>
                <c:ptCount val="7"/>
                <c:pt idx="0">
                  <c:v>1.5616360356018316E-4</c:v>
                </c:pt>
                <c:pt idx="1">
                  <c:v>6.8202886524552648E-4</c:v>
                </c:pt>
                <c:pt idx="2">
                  <c:v>2.5776132834738158E-4</c:v>
                </c:pt>
                <c:pt idx="3">
                  <c:v>8.2777153720315594E-5</c:v>
                </c:pt>
                <c:pt idx="4">
                  <c:v>1.0636856402092317E-3</c:v>
                </c:pt>
                <c:pt idx="5">
                  <c:v>8.0364597646734445E-4</c:v>
                </c:pt>
                <c:pt idx="6">
                  <c:v>2.5525736726453389E-5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4-1B4F-AA1E-365C5C8AF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403136"/>
        <c:axId val="1744752640"/>
      </c:barChart>
      <c:catAx>
        <c:axId val="17444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752640"/>
        <c:crosses val="autoZero"/>
        <c:auto val="1"/>
        <c:lblAlgn val="ctr"/>
        <c:lblOffset val="100"/>
        <c:noMultiLvlLbl val="0"/>
      </c:catAx>
      <c:valAx>
        <c:axId val="174475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89000">
                  <a:srgbClr val="D7792C"/>
                </a:gs>
                <a:gs pos="0">
                  <a:schemeClr val="accent6">
                    <a:lumMod val="95000"/>
                    <a:lumOff val="5000"/>
                  </a:schemeClr>
                </a:gs>
                <a:gs pos="100000">
                  <a:schemeClr val="accent6">
                    <a:lumMod val="60000"/>
                  </a:schemeClr>
                </a:gs>
              </a:gsLst>
              <a:lin ang="27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Vedra_1kgPO4eq_ReCiPe!$C$39:$C$45</c:f>
              <c:strCache>
                <c:ptCount val="7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  <c:pt idx="6">
                  <c:v>WU</c:v>
                </c:pt>
              </c:strCache>
            </c:strRef>
          </c:cat>
          <c:val>
            <c:numRef>
              <c:f>Vedra_1kgPO4eq_ReCiPe!$B$39:$B$45</c:f>
              <c:numCache>
                <c:formatCode>0.00E+00</c:formatCode>
                <c:ptCount val="7"/>
                <c:pt idx="0">
                  <c:v>5.1721953077984327E-3</c:v>
                </c:pt>
                <c:pt idx="1">
                  <c:v>2.2812922186748328E-2</c:v>
                </c:pt>
                <c:pt idx="2">
                  <c:v>8.5518995586739404E-3</c:v>
                </c:pt>
                <c:pt idx="3">
                  <c:v>2.7464949590245476E-3</c:v>
                </c:pt>
                <c:pt idx="4">
                  <c:v>3.5267651645397018E-2</c:v>
                </c:pt>
                <c:pt idx="5">
                  <c:v>2.6645024980728741E-2</c:v>
                </c:pt>
                <c:pt idx="6">
                  <c:v>8.4654724312288024E-4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4-244E-BFB0-7EF809CDF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807456"/>
        <c:axId val="1744554224"/>
      </c:barChart>
      <c:catAx>
        <c:axId val="174480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54224"/>
        <c:crosses val="autoZero"/>
        <c:auto val="1"/>
        <c:lblAlgn val="ctr"/>
        <c:lblOffset val="100"/>
        <c:noMultiLvlLbl val="0"/>
      </c:catAx>
      <c:valAx>
        <c:axId val="17445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0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Cerceda hab eq vs PO4 eq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'Evaluación de Impactos'!$C$155:$C$161</c:f>
              <c:numCache>
                <c:formatCode>0.00</c:formatCode>
                <c:ptCount val="7"/>
                <c:pt idx="0">
                  <c:v>3.2798979613051746</c:v>
                </c:pt>
                <c:pt idx="1">
                  <c:v>1.8460315484774368</c:v>
                </c:pt>
                <c:pt idx="2">
                  <c:v>2.6847601578974136</c:v>
                </c:pt>
                <c:pt idx="3">
                  <c:v>3.7945942579975882</c:v>
                </c:pt>
                <c:pt idx="4">
                  <c:v>0.99589361599684612</c:v>
                </c:pt>
                <c:pt idx="5">
                  <c:v>1.1288028629589002</c:v>
                </c:pt>
                <c:pt idx="6">
                  <c:v>5.368409938061653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7-7246-A834-820996BF160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'Evaluación de Impactos'!$D$155:$D$161</c:f>
              <c:numCache>
                <c:formatCode>0.00</c:formatCode>
                <c:ptCount val="7"/>
                <c:pt idx="0">
                  <c:v>1.2044186125645167</c:v>
                </c:pt>
                <c:pt idx="1">
                  <c:v>-0.23419792030444103</c:v>
                </c:pt>
                <c:pt idx="2">
                  <c:v>0.60432627768030689</c:v>
                </c:pt>
                <c:pt idx="3">
                  <c:v>1.714191212545805</c:v>
                </c:pt>
                <c:pt idx="4">
                  <c:v>-1.0844726510381169</c:v>
                </c:pt>
                <c:pt idx="5">
                  <c:v>-0.95156340325106903</c:v>
                </c:pt>
                <c:pt idx="6">
                  <c:v>3.2885976758665025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7-7246-A834-820996BF1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170847"/>
        <c:axId val="2055669232"/>
      </c:barChart>
      <c:catAx>
        <c:axId val="314170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669232"/>
        <c:crosses val="autoZero"/>
        <c:auto val="1"/>
        <c:lblAlgn val="ctr"/>
        <c:lblOffset val="100"/>
        <c:noMultiLvlLbl val="0"/>
      </c:catAx>
      <c:valAx>
        <c:axId val="205566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7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hab</a:t>
            </a:r>
            <a:r>
              <a:rPr lang="en-GB" baseline="0"/>
              <a:t> eq Cerceda vs Vedra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'Evaluación de Impactos'!$C$155:$C$161</c:f>
              <c:numCache>
                <c:formatCode>0.00</c:formatCode>
                <c:ptCount val="7"/>
                <c:pt idx="0">
                  <c:v>3.2798979613051746</c:v>
                </c:pt>
                <c:pt idx="1">
                  <c:v>1.8460315484774368</c:v>
                </c:pt>
                <c:pt idx="2">
                  <c:v>2.6847601578974136</c:v>
                </c:pt>
                <c:pt idx="3">
                  <c:v>3.7945942579975882</c:v>
                </c:pt>
                <c:pt idx="4">
                  <c:v>0.99589361599684612</c:v>
                </c:pt>
                <c:pt idx="5">
                  <c:v>1.1288028629589002</c:v>
                </c:pt>
                <c:pt idx="6">
                  <c:v>5.368409938061653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8-6844-BDB9-F3729A9D98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'Evaluación de Impactos'!$E$155:$E$161</c:f>
              <c:numCache>
                <c:formatCode>0.00</c:formatCode>
                <c:ptCount val="7"/>
                <c:pt idx="0">
                  <c:v>3.8064201779801117</c:v>
                </c:pt>
                <c:pt idx="1">
                  <c:v>3.1661972444761184</c:v>
                </c:pt>
                <c:pt idx="2">
                  <c:v>3.5887822388256509</c:v>
                </c:pt>
                <c:pt idx="3">
                  <c:v>4.082089510827414</c:v>
                </c:pt>
                <c:pt idx="4">
                  <c:v>2.9731867037088415</c:v>
                </c:pt>
                <c:pt idx="5">
                  <c:v>3.0949352252900275</c:v>
                </c:pt>
                <c:pt idx="6">
                  <c:v>4.5930217144079073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8-6844-BDB9-F3729A9D9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322623"/>
        <c:axId val="465517455"/>
      </c:barChart>
      <c:catAx>
        <c:axId val="465322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17455"/>
        <c:crosses val="autoZero"/>
        <c:auto val="1"/>
        <c:lblAlgn val="ctr"/>
        <c:lblOffset val="100"/>
        <c:noMultiLvlLbl val="0"/>
      </c:catAx>
      <c:valAx>
        <c:axId val="46551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32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Vedra hab eq vs PO4 eq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'Evaluación de Impactos'!$E$155:$E$161</c:f>
              <c:numCache>
                <c:formatCode>0.00</c:formatCode>
                <c:ptCount val="7"/>
                <c:pt idx="0">
                  <c:v>3.8064201779801117</c:v>
                </c:pt>
                <c:pt idx="1">
                  <c:v>3.1661972444761184</c:v>
                </c:pt>
                <c:pt idx="2">
                  <c:v>3.5887822388256509</c:v>
                </c:pt>
                <c:pt idx="3">
                  <c:v>4.082089510827414</c:v>
                </c:pt>
                <c:pt idx="4">
                  <c:v>2.9731867037088415</c:v>
                </c:pt>
                <c:pt idx="5">
                  <c:v>3.0949352252900275</c:v>
                </c:pt>
                <c:pt idx="6">
                  <c:v>4.5930217144079073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C-AC45-A857-4B2368C9C07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'Evaluación de Impactos'!$F$155:$F$161</c:f>
              <c:numCache>
                <c:formatCode>0.00</c:formatCode>
                <c:ptCount val="7"/>
                <c:pt idx="0">
                  <c:v>2.2863250840434528</c:v>
                </c:pt>
                <c:pt idx="1">
                  <c:v>1.6418190808655977</c:v>
                </c:pt>
                <c:pt idx="2">
                  <c:v>2.0679374085207267</c:v>
                </c:pt>
                <c:pt idx="3">
                  <c:v>2.5612211937552498</c:v>
                </c:pt>
                <c:pt idx="4">
                  <c:v>1.4526234575822972</c:v>
                </c:pt>
                <c:pt idx="5">
                  <c:v>1.574383868255212</c:v>
                </c:pt>
                <c:pt idx="6">
                  <c:v>3.0723488002779549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C-AC45-A857-4B2368C9C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800799"/>
        <c:axId val="465159951"/>
      </c:barChart>
      <c:catAx>
        <c:axId val="464800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159951"/>
        <c:crosses val="autoZero"/>
        <c:auto val="1"/>
        <c:lblAlgn val="ctr"/>
        <c:lblOffset val="100"/>
        <c:noMultiLvlLbl val="0"/>
      </c:catAx>
      <c:valAx>
        <c:axId val="46515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'Evaluación de Impactos'!$D$155:$D$161</c:f>
              <c:numCache>
                <c:formatCode>0.00</c:formatCode>
                <c:ptCount val="7"/>
                <c:pt idx="0">
                  <c:v>1.2044186125645167</c:v>
                </c:pt>
                <c:pt idx="1">
                  <c:v>-0.23419792030444103</c:v>
                </c:pt>
                <c:pt idx="2">
                  <c:v>0.60432627768030689</c:v>
                </c:pt>
                <c:pt idx="3">
                  <c:v>1.714191212545805</c:v>
                </c:pt>
                <c:pt idx="4">
                  <c:v>-1.0844726510381169</c:v>
                </c:pt>
                <c:pt idx="5">
                  <c:v>-0.95156340325106903</c:v>
                </c:pt>
                <c:pt idx="6">
                  <c:v>3.2885976758665025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2-964A-A390-09FBAA5F12F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'Evaluación de Impactos'!$F$155:$F$161</c:f>
              <c:numCache>
                <c:formatCode>0.00</c:formatCode>
                <c:ptCount val="7"/>
                <c:pt idx="0">
                  <c:v>2.2863250840434528</c:v>
                </c:pt>
                <c:pt idx="1">
                  <c:v>1.6418190808655977</c:v>
                </c:pt>
                <c:pt idx="2">
                  <c:v>2.0679374085207267</c:v>
                </c:pt>
                <c:pt idx="3">
                  <c:v>2.5612211937552498</c:v>
                </c:pt>
                <c:pt idx="4">
                  <c:v>1.4526234575822972</c:v>
                </c:pt>
                <c:pt idx="5">
                  <c:v>1.574383868255212</c:v>
                </c:pt>
                <c:pt idx="6">
                  <c:v>3.0723488002779549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2-964A-A390-09FBAA5F1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203039"/>
        <c:axId val="2055358464"/>
      </c:barChart>
      <c:catAx>
        <c:axId val="314203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358464"/>
        <c:crosses val="autoZero"/>
        <c:auto val="1"/>
        <c:lblAlgn val="ctr"/>
        <c:lblOffset val="100"/>
        <c:noMultiLvlLbl val="0"/>
      </c:catAx>
      <c:valAx>
        <c:axId val="205535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0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baseline="0"/>
              <a:t>Normalized environmental impact profile (Hab eq)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'Evaluación de Impactos'!$C$24</c:f>
              <c:strCache>
                <c:ptCount val="1"/>
                <c:pt idx="0">
                  <c:v>Cerceda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Impactos'!$C$25:$C$30</c:f>
              <c:numCache>
                <c:formatCode>General</c:formatCode>
                <c:ptCount val="6"/>
                <c:pt idx="0">
                  <c:v>5.1999079376966574E-3</c:v>
                </c:pt>
                <c:pt idx="1">
                  <c:v>0.14120889921336979</c:v>
                </c:pt>
                <c:pt idx="2">
                  <c:v>2.0470736029937962E-2</c:v>
                </c:pt>
                <c:pt idx="3">
                  <c:v>1.5896421069997962E-3</c:v>
                </c:pt>
                <c:pt idx="4">
                  <c:v>1</c:v>
                </c:pt>
                <c:pt idx="5">
                  <c:v>0.73636095625825082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D-49E7-8211-FC62300A8E9B}"/>
            </c:ext>
          </c:extLst>
        </c:ser>
        <c:ser>
          <c:idx val="1"/>
          <c:order val="1"/>
          <c:tx>
            <c:strRef>
              <c:f>'Evaluación de Impactos'!$D$24</c:f>
              <c:strCache>
                <c:ptCount val="1"/>
                <c:pt idx="0">
                  <c:v>Vedra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Impactos'!$D$25:$D$30</c:f>
              <c:numCache>
                <c:formatCode>General</c:formatCode>
                <c:ptCount val="6"/>
                <c:pt idx="0">
                  <c:v>0.14681368033648087</c:v>
                </c:pt>
                <c:pt idx="1">
                  <c:v>0.6411940139676684</c:v>
                </c:pt>
                <c:pt idx="2">
                  <c:v>0.24232848372069662</c:v>
                </c:pt>
                <c:pt idx="3">
                  <c:v>7.7821069112141969E-2</c:v>
                </c:pt>
                <c:pt idx="4">
                  <c:v>1</c:v>
                </c:pt>
                <c:pt idx="5">
                  <c:v>0.75552959078141135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D-49E7-8211-FC62300A8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319792575"/>
        <c:axId val="1319793055"/>
      </c:barChart>
      <c:catAx>
        <c:axId val="131979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9793055"/>
        <c:crosses val="autoZero"/>
        <c:auto val="1"/>
        <c:lblAlgn val="ctr"/>
        <c:lblOffset val="100"/>
        <c:noMultiLvlLbl val="0"/>
      </c:catAx>
      <c:valAx>
        <c:axId val="1319793055"/>
        <c:scaling>
          <c:orientation val="minMax"/>
          <c:max val="1.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979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Tipo Radar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'Evaluación de Impactos'!$C$24</c:f>
              <c:strCache>
                <c:ptCount val="1"/>
                <c:pt idx="0">
                  <c:v>Cerceda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Impactos'!$C$25:$C$30</c:f>
              <c:numCache>
                <c:formatCode>General</c:formatCode>
                <c:ptCount val="6"/>
                <c:pt idx="0">
                  <c:v>5.1999079376966574E-3</c:v>
                </c:pt>
                <c:pt idx="1">
                  <c:v>0.14120889921336979</c:v>
                </c:pt>
                <c:pt idx="2">
                  <c:v>2.0470736029937962E-2</c:v>
                </c:pt>
                <c:pt idx="3">
                  <c:v>1.5896421069997962E-3</c:v>
                </c:pt>
                <c:pt idx="4">
                  <c:v>1</c:v>
                </c:pt>
                <c:pt idx="5">
                  <c:v>0.73636095625825082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F-4479-9D25-7A770BEF0B70}"/>
            </c:ext>
          </c:extLst>
        </c:ser>
        <c:ser>
          <c:idx val="1"/>
          <c:order val="1"/>
          <c:tx>
            <c:strRef>
              <c:f>'Evaluación de Impactos'!$D$24</c:f>
              <c:strCache>
                <c:ptCount val="1"/>
                <c:pt idx="0">
                  <c:v>Vedra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Impactos'!$D$25:$D$30</c:f>
              <c:numCache>
                <c:formatCode>General</c:formatCode>
                <c:ptCount val="6"/>
                <c:pt idx="0">
                  <c:v>0.14681368033648087</c:v>
                </c:pt>
                <c:pt idx="1">
                  <c:v>0.6411940139676684</c:v>
                </c:pt>
                <c:pt idx="2">
                  <c:v>0.24232848372069662</c:v>
                </c:pt>
                <c:pt idx="3">
                  <c:v>7.7821069112141969E-2</c:v>
                </c:pt>
                <c:pt idx="4">
                  <c:v>1</c:v>
                </c:pt>
                <c:pt idx="5">
                  <c:v>0.75552959078141135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F-4479-9D25-7A770BEF0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82543"/>
        <c:axId val="1870386383"/>
      </c:radarChart>
      <c:catAx>
        <c:axId val="18703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0386383"/>
        <c:crosses val="autoZero"/>
        <c:auto val="1"/>
        <c:lblAlgn val="ctr"/>
        <c:lblOffset val="100"/>
        <c:noMultiLvlLbl val="0"/>
      </c:catAx>
      <c:valAx>
        <c:axId val="187038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0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Barras Agrupadas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'Evaluación de Impactos'!$C$24</c:f>
              <c:strCache>
                <c:ptCount val="1"/>
                <c:pt idx="0">
                  <c:v>Cerceda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Impactos'!$C$25:$C$30</c:f>
              <c:numCache>
                <c:formatCode>General</c:formatCode>
                <c:ptCount val="6"/>
                <c:pt idx="0">
                  <c:v>5.1999079376966574E-3</c:v>
                </c:pt>
                <c:pt idx="1">
                  <c:v>0.14120889921336979</c:v>
                </c:pt>
                <c:pt idx="2">
                  <c:v>2.0470736029937962E-2</c:v>
                </c:pt>
                <c:pt idx="3">
                  <c:v>1.5896421069997962E-3</c:v>
                </c:pt>
                <c:pt idx="4">
                  <c:v>1</c:v>
                </c:pt>
                <c:pt idx="5">
                  <c:v>0.73636095625825082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9-4F86-90E0-D28CC0CED1A1}"/>
            </c:ext>
          </c:extLst>
        </c:ser>
        <c:ser>
          <c:idx val="1"/>
          <c:order val="1"/>
          <c:tx>
            <c:strRef>
              <c:f>'Evaluación de Impactos'!$D$24</c:f>
              <c:strCache>
                <c:ptCount val="1"/>
                <c:pt idx="0">
                  <c:v>Vedra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Impactos'!$D$25:$D$30</c:f>
              <c:numCache>
                <c:formatCode>General</c:formatCode>
                <c:ptCount val="6"/>
                <c:pt idx="0">
                  <c:v>0.14681368033648087</c:v>
                </c:pt>
                <c:pt idx="1">
                  <c:v>0.6411940139676684</c:v>
                </c:pt>
                <c:pt idx="2">
                  <c:v>0.24232848372069662</c:v>
                </c:pt>
                <c:pt idx="3">
                  <c:v>7.7821069112141969E-2</c:v>
                </c:pt>
                <c:pt idx="4">
                  <c:v>1</c:v>
                </c:pt>
                <c:pt idx="5">
                  <c:v>0.75552959078141135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9-4F86-90E0-D28CC0CED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8249407"/>
        <c:axId val="818249887"/>
      </c:barChart>
      <c:catAx>
        <c:axId val="81824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8249887"/>
        <c:crosses val="autoZero"/>
        <c:auto val="1"/>
        <c:lblAlgn val="ctr"/>
        <c:lblOffset val="100"/>
        <c:noMultiLvlLbl val="0"/>
      </c:catAx>
      <c:valAx>
        <c:axId val="81824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824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Líneas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'Evaluación de Impactos'!$C$24</c:f>
              <c:strCache>
                <c:ptCount val="1"/>
                <c:pt idx="0">
                  <c:v>Cerceda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Impactos'!$C$25:$C$30</c:f>
              <c:numCache>
                <c:formatCode>General</c:formatCode>
                <c:ptCount val="6"/>
                <c:pt idx="0">
                  <c:v>5.1999079376966574E-3</c:v>
                </c:pt>
                <c:pt idx="1">
                  <c:v>0.14120889921336979</c:v>
                </c:pt>
                <c:pt idx="2">
                  <c:v>2.0470736029937962E-2</c:v>
                </c:pt>
                <c:pt idx="3">
                  <c:v>1.5896421069997962E-3</c:v>
                </c:pt>
                <c:pt idx="4">
                  <c:v>1</c:v>
                </c:pt>
                <c:pt idx="5">
                  <c:v>0.73636095625825082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56-45E5-8B6A-9CB22142B5DE}"/>
            </c:ext>
          </c:extLst>
        </c:ser>
        <c:ser>
          <c:idx val="1"/>
          <c:order val="1"/>
          <c:tx>
            <c:strRef>
              <c:f>'Evaluación de Impactos'!$D$24</c:f>
              <c:strCache>
                <c:ptCount val="1"/>
                <c:pt idx="0">
                  <c:v>Vedra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Impactos'!$D$25:$D$30</c:f>
              <c:numCache>
                <c:formatCode>General</c:formatCode>
                <c:ptCount val="6"/>
                <c:pt idx="0">
                  <c:v>0.14681368033648087</c:v>
                </c:pt>
                <c:pt idx="1">
                  <c:v>0.6411940139676684</c:v>
                </c:pt>
                <c:pt idx="2">
                  <c:v>0.24232848372069662</c:v>
                </c:pt>
                <c:pt idx="3">
                  <c:v>7.7821069112141969E-2</c:v>
                </c:pt>
                <c:pt idx="4">
                  <c:v>1</c:v>
                </c:pt>
                <c:pt idx="5">
                  <c:v>0.75552959078141135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56-45E5-8B6A-9CB22142B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825695"/>
        <c:axId val="1319826175"/>
      </c:lineChart>
      <c:catAx>
        <c:axId val="131982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9826175"/>
        <c:crosses val="autoZero"/>
        <c:auto val="1"/>
        <c:lblAlgn val="ctr"/>
        <c:lblOffset val="100"/>
        <c:noMultiLvlLbl val="0"/>
      </c:catAx>
      <c:valAx>
        <c:axId val="131982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982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Área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'Evaluación de Impactos'!$C$24</c:f>
              <c:strCache>
                <c:ptCount val="1"/>
                <c:pt idx="0">
                  <c:v>Cerceda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Impactos'!$C$25:$C$30</c:f>
              <c:numCache>
                <c:formatCode>General</c:formatCode>
                <c:ptCount val="6"/>
                <c:pt idx="0">
                  <c:v>5.1999079376966574E-3</c:v>
                </c:pt>
                <c:pt idx="1">
                  <c:v>0.14120889921336979</c:v>
                </c:pt>
                <c:pt idx="2">
                  <c:v>2.0470736029937962E-2</c:v>
                </c:pt>
                <c:pt idx="3">
                  <c:v>1.5896421069997962E-3</c:v>
                </c:pt>
                <c:pt idx="4">
                  <c:v>1</c:v>
                </c:pt>
                <c:pt idx="5">
                  <c:v>0.73636095625825082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9-4B79-9BBA-CDA87945D665}"/>
            </c:ext>
          </c:extLst>
        </c:ser>
        <c:ser>
          <c:idx val="1"/>
          <c:order val="1"/>
          <c:tx>
            <c:strRef>
              <c:f>'Evaluación de Impactos'!$D$24</c:f>
              <c:strCache>
                <c:ptCount val="1"/>
                <c:pt idx="0">
                  <c:v>Vedra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'Evaluación de Impactos'!$B$25:$B$30</c:f>
              <c:strCache>
                <c:ptCount val="6"/>
                <c:pt idx="0">
                  <c:v>GWP</c:v>
                </c:pt>
                <c:pt idx="1">
                  <c:v>FEU</c:v>
                </c:pt>
                <c:pt idx="2">
                  <c:v>MEU</c:v>
                </c:pt>
                <c:pt idx="3">
                  <c:v>TET</c:v>
                </c:pt>
                <c:pt idx="4">
                  <c:v>FET</c:v>
                </c:pt>
                <c:pt idx="5">
                  <c:v>MET</c:v>
                </c:pt>
              </c:strCache>
            </c:strRef>
          </c:cat>
          <c:val>
            <c:numRef>
              <c:f>'Evaluación de Impactos'!$D$25:$D$30</c:f>
              <c:numCache>
                <c:formatCode>General</c:formatCode>
                <c:ptCount val="6"/>
                <c:pt idx="0">
                  <c:v>0.14681368033648087</c:v>
                </c:pt>
                <c:pt idx="1">
                  <c:v>0.6411940139676684</c:v>
                </c:pt>
                <c:pt idx="2">
                  <c:v>0.24232848372069662</c:v>
                </c:pt>
                <c:pt idx="3">
                  <c:v>7.7821069112141969E-2</c:v>
                </c:pt>
                <c:pt idx="4">
                  <c:v>1</c:v>
                </c:pt>
                <c:pt idx="5">
                  <c:v>0.75552959078141135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9-4B79-9BBA-CDA87945D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68623"/>
        <c:axId val="1870378223"/>
      </c:areaChart>
      <c:catAx>
        <c:axId val="1870368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0378223"/>
        <c:crosses val="autoZero"/>
        <c:auto val="1"/>
        <c:lblAlgn val="ctr"/>
        <c:lblOffset val="100"/>
        <c:noMultiLvlLbl val="0"/>
      </c:catAx>
      <c:valAx>
        <c:axId val="187037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036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XY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'Evaluación de Impactos'!$C$36:$C$41</c:f>
              <c:numCache>
                <c:formatCode>0.00E+00</c:formatCode>
                <c:ptCount val="6"/>
                <c:pt idx="0">
                  <c:v>5.1999079376966574E-3</c:v>
                </c:pt>
                <c:pt idx="1">
                  <c:v>0.14120889921336979</c:v>
                </c:pt>
                <c:pt idx="2">
                  <c:v>2.0470736029937962E-2</c:v>
                </c:pt>
                <c:pt idx="3">
                  <c:v>1.5896421069997962E-3</c:v>
                </c:pt>
                <c:pt idx="4">
                  <c:v>1</c:v>
                </c:pt>
                <c:pt idx="5">
                  <c:v>0.73636095625825082</c:v>
                </c:pt>
              </c:numCache>
            </c:numRef>
          </c:xVal>
          <c:yVal>
            <c:numRef>
              <c:f>'Evaluación de Impactos'!$D$36:$D$41</c:f>
              <c:numCache>
                <c:formatCode>0.00E+00</c:formatCode>
                <c:ptCount val="6"/>
                <c:pt idx="0">
                  <c:v>0.14681368033648087</c:v>
                </c:pt>
                <c:pt idx="1">
                  <c:v>0.6411940139676684</c:v>
                </c:pt>
                <c:pt idx="2">
                  <c:v>0.24232848372069662</c:v>
                </c:pt>
                <c:pt idx="3">
                  <c:v>7.7821069112141969E-2</c:v>
                </c:pt>
                <c:pt idx="4">
                  <c:v>1</c:v>
                </c:pt>
                <c:pt idx="5">
                  <c:v>0.75552959078141135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2-4276-8538-8EF924134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433903"/>
        <c:axId val="1870440143"/>
      </c:scatterChart>
      <c:valAx>
        <c:axId val="187043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0440143"/>
        <c:crosses val="autoZero"/>
        <c:crossBetween val="midCat"/>
      </c:valAx>
      <c:valAx>
        <c:axId val="187044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043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270933</xdr:colOff>
      <xdr:row>35</xdr:row>
      <xdr:rowOff>67733</xdr:rowOff>
    </xdr:from>
    <xdr:to>
      <xdr:col>6</xdr:col>
      <xdr:colOff>347133</xdr:colOff>
      <xdr:row>53</xdr:row>
      <xdr:rowOff>67733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700CE5-31A1-5077-9F53-A86507D03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700848</xdr:colOff>
      <xdr:row>35</xdr:row>
      <xdr:rowOff>80668</xdr:rowOff>
    </xdr:from>
    <xdr:to>
      <xdr:col>6</xdr:col>
      <xdr:colOff>1051273</xdr:colOff>
      <xdr:row>53</xdr:row>
      <xdr:rowOff>163453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AAF890-0BA7-222F-A524-500C78BB5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310030</xdr:colOff>
      <xdr:row>34</xdr:row>
      <xdr:rowOff>127187</xdr:rowOff>
    </xdr:from>
    <xdr:to>
      <xdr:col>8</xdr:col>
      <xdr:colOff>7471</xdr:colOff>
      <xdr:row>47</xdr:row>
      <xdr:rowOff>199651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78615-E7ED-79B5-DF42-E607FBD26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338965</xdr:colOff>
      <xdr:row>35</xdr:row>
      <xdr:rowOff>41498</xdr:rowOff>
    </xdr:from>
    <xdr:to>
      <xdr:col>6</xdr:col>
      <xdr:colOff>1056247</xdr:colOff>
      <xdr:row>48</xdr:row>
      <xdr:rowOff>110543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09CB9-21C3-5BC7-6A30-395F53B6A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8094</xdr:colOff>
      <xdr:row>162</xdr:row>
      <xdr:rowOff>6856</xdr:rowOff>
    </xdr:from>
    <xdr:to>
      <xdr:col>6</xdr:col>
      <xdr:colOff>454911</xdr:colOff>
      <xdr:row>180</xdr:row>
      <xdr:rowOff>160368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378F16-AE37-39AA-0B6E-4013762D5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13974</xdr:colOff>
      <xdr:row>182</xdr:row>
      <xdr:rowOff>9352</xdr:rowOff>
    </xdr:from>
    <xdr:to>
      <xdr:col>6</xdr:col>
      <xdr:colOff>460791</xdr:colOff>
      <xdr:row>200</xdr:row>
      <xdr:rowOff>162864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990DC2-EDB1-C650-433C-58BD9BBD5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10792</xdr:colOff>
      <xdr:row>162</xdr:row>
      <xdr:rowOff>10111</xdr:rowOff>
    </xdr:from>
    <xdr:to>
      <xdr:col>12</xdr:col>
      <xdr:colOff>457609</xdr:colOff>
      <xdr:row>180</xdr:row>
      <xdr:rowOff>163623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791CE4-0D3E-83FB-E68E-29F96AB52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8343</xdr:colOff>
      <xdr:row>182</xdr:row>
      <xdr:rowOff>14276</xdr:rowOff>
    </xdr:from>
    <xdr:to>
      <xdr:col>12</xdr:col>
      <xdr:colOff>455160</xdr:colOff>
      <xdr:row>200</xdr:row>
      <xdr:rowOff>167788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4923A4-01D6-8B61-0538-76BB35B19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171507</xdr:colOff>
      <xdr:row>4</xdr:row>
      <xdr:rowOff>185568</xdr:rowOff>
    </xdr:from>
    <xdr:to>
      <xdr:col>14</xdr:col>
      <xdr:colOff>723507</xdr:colOff>
      <xdr:row>33</xdr:row>
      <xdr:rowOff>61068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D9E80ED-C790-44A0-1DD6-02E40109A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182562</xdr:colOff>
      <xdr:row>34</xdr:row>
      <xdr:rowOff>128587</xdr:rowOff>
    </xdr:from>
    <xdr:to>
      <xdr:col>12</xdr:col>
      <xdr:colOff>182562</xdr:colOff>
      <xdr:row>49</xdr:row>
      <xdr:rowOff>14287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872CD3B-6BAF-E2B0-D71C-01EAE40A3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484187</xdr:colOff>
      <xdr:row>34</xdr:row>
      <xdr:rowOff>96837</xdr:rowOff>
    </xdr:from>
    <xdr:to>
      <xdr:col>18</xdr:col>
      <xdr:colOff>484187</xdr:colOff>
      <xdr:row>48</xdr:row>
      <xdr:rowOff>173037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904FCEE-7E04-F7FE-27D4-0F3653347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222250</xdr:colOff>
      <xdr:row>50</xdr:row>
      <xdr:rowOff>128587</xdr:rowOff>
    </xdr:from>
    <xdr:to>
      <xdr:col>12</xdr:col>
      <xdr:colOff>222250</xdr:colOff>
      <xdr:row>65</xdr:row>
      <xdr:rowOff>14287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EB916C2-F054-A984-834C-D507FFECC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412750</xdr:colOff>
      <xdr:row>50</xdr:row>
      <xdr:rowOff>176212</xdr:rowOff>
    </xdr:from>
    <xdr:to>
      <xdr:col>18</xdr:col>
      <xdr:colOff>412750</xdr:colOff>
      <xdr:row>65</xdr:row>
      <xdr:rowOff>61912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D41A980-2D3A-C269-C745-73F403FB8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190500</xdr:colOff>
      <xdr:row>66</xdr:row>
      <xdr:rowOff>96837</xdr:rowOff>
    </xdr:from>
    <xdr:to>
      <xdr:col>12</xdr:col>
      <xdr:colOff>190500</xdr:colOff>
      <xdr:row>80</xdr:row>
      <xdr:rowOff>173037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FA7B7EE-42FF-9299-8D1C-758A6AEA3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zoomScaleNormal="100" workbookViewId="0">
      <selection activeCell="A17" sqref="A17:A34"/>
    </sheetView>
  </sheetViews>
  <sheetFormatPr baseColWidth="10" defaultRowHeight="15" x14ac:dyDescent="0.25"/>
  <cols>
    <col min="1" max="1" width="32" bestFit="1" customWidth="1"/>
    <col min="4" max="4" width="29" bestFit="1" customWidth="1"/>
    <col min="5" max="5" width="12" customWidth="1"/>
    <col min="6" max="6" width="18" customWidth="1"/>
    <col min="7" max="7" width="18.7109375" customWidth="1"/>
    <col min="8" max="8" width="16.140625" customWidth="1"/>
    <col min="9" max="9" width="14" customWidth="1"/>
    <col min="10" max="10" width="20.42578125" customWidth="1"/>
    <col min="11" max="11" width="20.140625" customWidth="1"/>
    <col min="12" max="12" width="18" bestFit="1" customWidth="1"/>
    <col min="13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s="1">
        <v>46227</v>
      </c>
      <c r="E1" t="s">
        <v>3</v>
      </c>
      <c r="F1" s="2">
        <v>0.45830211805600002</v>
      </c>
    </row>
    <row r="2" spans="1:13" x14ac:dyDescent="0.25">
      <c r="A2" t="s">
        <v>4</v>
      </c>
      <c r="B2" t="s">
        <v>5</v>
      </c>
    </row>
    <row r="5" spans="1:13" x14ac:dyDescent="0.25">
      <c r="A5" t="s">
        <v>6</v>
      </c>
      <c r="B5" t="s">
        <v>7</v>
      </c>
    </row>
    <row r="6" spans="1:13" x14ac:dyDescent="0.25">
      <c r="A6" t="s">
        <v>8</v>
      </c>
      <c r="B6" t="s">
        <v>9</v>
      </c>
    </row>
    <row r="7" spans="1:13" x14ac:dyDescent="0.25">
      <c r="A7" t="s">
        <v>10</v>
      </c>
      <c r="B7" t="s">
        <v>11</v>
      </c>
    </row>
    <row r="8" spans="1:13" x14ac:dyDescent="0.25">
      <c r="A8" t="s">
        <v>12</v>
      </c>
      <c r="B8" t="s">
        <v>13</v>
      </c>
    </row>
    <row r="9" spans="1:13" x14ac:dyDescent="0.25">
      <c r="A9" t="s">
        <v>14</v>
      </c>
      <c r="B9" t="s">
        <v>15</v>
      </c>
    </row>
    <row r="10" spans="1:13" x14ac:dyDescent="0.25">
      <c r="A10" t="s">
        <v>16</v>
      </c>
      <c r="B10" t="s">
        <v>17</v>
      </c>
    </row>
    <row r="11" spans="1:13" x14ac:dyDescent="0.25">
      <c r="A11" t="s">
        <v>18</v>
      </c>
      <c r="B11" t="s">
        <v>19</v>
      </c>
    </row>
    <row r="12" spans="1:13" x14ac:dyDescent="0.25">
      <c r="A12" t="s">
        <v>20</v>
      </c>
      <c r="B12" t="s">
        <v>19</v>
      </c>
    </row>
    <row r="13" spans="1:13" x14ac:dyDescent="0.25">
      <c r="A13" t="s">
        <v>21</v>
      </c>
      <c r="B13" t="s">
        <v>22</v>
      </c>
    </row>
    <row r="14" spans="1:13" x14ac:dyDescent="0.25">
      <c r="A14" t="s">
        <v>23</v>
      </c>
      <c r="B14" t="s">
        <v>24</v>
      </c>
    </row>
    <row r="16" spans="1:13" x14ac:dyDescent="0.25">
      <c r="A16" t="s">
        <v>22</v>
      </c>
      <c r="B16" t="s">
        <v>25</v>
      </c>
      <c r="C16" t="s">
        <v>26</v>
      </c>
      <c r="D16" t="s">
        <v>65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32</v>
      </c>
      <c r="K16" s="42" t="s">
        <v>33</v>
      </c>
      <c r="L16" t="s">
        <v>135</v>
      </c>
      <c r="M16" t="s">
        <v>66</v>
      </c>
    </row>
    <row r="17" spans="1:14" x14ac:dyDescent="0.25">
      <c r="A17" s="9" t="s">
        <v>34</v>
      </c>
      <c r="B17" s="9" t="s">
        <v>35</v>
      </c>
      <c r="C17" s="10">
        <v>4.2553663999999998</v>
      </c>
      <c r="D17" s="10">
        <v>0.1285</v>
      </c>
      <c r="E17" s="10">
        <v>3.5732653000000003E-2</v>
      </c>
      <c r="F17" s="10">
        <v>8.5710024999999995E-2</v>
      </c>
      <c r="G17" s="10">
        <v>6.0955505E-2</v>
      </c>
      <c r="H17" s="10">
        <v>2.1075383E-3</v>
      </c>
      <c r="I17" s="10">
        <v>1.2378894000000001E-4</v>
      </c>
      <c r="J17" s="17">
        <v>3.9400892999999999</v>
      </c>
      <c r="K17" s="43">
        <v>2.1476142E-3</v>
      </c>
      <c r="L17" s="10">
        <f t="shared" ref="L17:L34" si="0">SUM(D17:F17, H17:K17)</f>
        <v>4.1944109194400001</v>
      </c>
      <c r="M17" s="51">
        <f>L17/'Final normalization scores No I'!$D$4</f>
        <v>5.2493077970682748E-4</v>
      </c>
      <c r="N17" t="s">
        <v>136</v>
      </c>
    </row>
    <row r="18" spans="1:14" x14ac:dyDescent="0.25">
      <c r="A18" t="s">
        <v>36</v>
      </c>
      <c r="B18" t="s">
        <v>37</v>
      </c>
      <c r="C18" s="3">
        <v>4.8599510000000002E-6</v>
      </c>
      <c r="D18" s="8">
        <v>2.7499999999999999E-6</v>
      </c>
      <c r="E18" s="16">
        <v>5.3539985999999999E-9</v>
      </c>
      <c r="F18" s="8">
        <v>5.1150999999999999E-8</v>
      </c>
      <c r="G18" s="8">
        <v>1.322E-8</v>
      </c>
      <c r="H18" s="8">
        <v>6.0525475999999996E-10</v>
      </c>
      <c r="I18" s="8">
        <v>3.6524755999999999E-11</v>
      </c>
      <c r="J18" s="8">
        <v>2.0393940000000002E-6</v>
      </c>
      <c r="K18" s="44">
        <v>1.8965345E-10</v>
      </c>
      <c r="L18" s="8">
        <f t="shared" si="0"/>
        <v>4.8467304315660006E-6</v>
      </c>
    </row>
    <row r="19" spans="1:14" x14ac:dyDescent="0.25">
      <c r="A19" t="s">
        <v>38</v>
      </c>
      <c r="B19" t="s">
        <v>39</v>
      </c>
      <c r="C19" s="7">
        <v>0.10354748</v>
      </c>
      <c r="D19" s="8">
        <v>0</v>
      </c>
      <c r="E19" s="5">
        <v>8.8414598000000001E-4</v>
      </c>
      <c r="F19" s="7">
        <v>8.9029375999999993E-2</v>
      </c>
      <c r="G19" s="8">
        <v>2.4717377000000001E-3</v>
      </c>
      <c r="H19" s="8">
        <v>2.1242392999999999E-5</v>
      </c>
      <c r="I19" s="8">
        <v>1.4499939999999999E-6</v>
      </c>
      <c r="J19" s="8">
        <v>1.1120791999999999E-2</v>
      </c>
      <c r="K19" s="44">
        <v>1.8735116999999999E-5</v>
      </c>
      <c r="L19" s="8">
        <f t="shared" si="0"/>
        <v>0.10107574148399999</v>
      </c>
    </row>
    <row r="20" spans="1:14" x14ac:dyDescent="0.25">
      <c r="A20" t="s">
        <v>40</v>
      </c>
      <c r="B20" t="s">
        <v>41</v>
      </c>
      <c r="C20" s="5">
        <v>2.4904344999999999E-3</v>
      </c>
      <c r="D20" s="8">
        <v>0</v>
      </c>
      <c r="E20" s="4">
        <v>6.1416108999999994E-5</v>
      </c>
      <c r="F20" s="8">
        <v>1.9374257E-4</v>
      </c>
      <c r="G20" s="8">
        <v>1.4862670999999999E-4</v>
      </c>
      <c r="H20" s="8">
        <v>9.5423300000000005E-6</v>
      </c>
      <c r="I20" s="8">
        <v>6.3432700000000001E-7</v>
      </c>
      <c r="J20" s="8">
        <v>2.0709400999999999E-3</v>
      </c>
      <c r="K20" s="44">
        <v>5.5323179999999996E-6</v>
      </c>
      <c r="L20" s="8">
        <f t="shared" si="0"/>
        <v>2.341807754E-3</v>
      </c>
    </row>
    <row r="21" spans="1:14" x14ac:dyDescent="0.25">
      <c r="A21" t="s">
        <v>42</v>
      </c>
      <c r="B21" t="s">
        <v>43</v>
      </c>
      <c r="C21" s="4">
        <v>7.9628578999999997E-4</v>
      </c>
      <c r="D21" s="8">
        <v>0</v>
      </c>
      <c r="E21" s="4">
        <v>3.8708314999999998E-5</v>
      </c>
      <c r="F21" s="8">
        <v>7.8984533999999995E-5</v>
      </c>
      <c r="G21" s="8">
        <v>9.9165645999999997E-5</v>
      </c>
      <c r="H21" s="8">
        <v>2.4553450000000002E-6</v>
      </c>
      <c r="I21" s="8">
        <v>1.8720899999999999E-7</v>
      </c>
      <c r="J21" s="8">
        <v>5.7499652000000002E-4</v>
      </c>
      <c r="K21" s="44">
        <v>1.788221E-6</v>
      </c>
      <c r="L21" s="8">
        <f t="shared" si="0"/>
        <v>6.9712014399999993E-4</v>
      </c>
    </row>
    <row r="22" spans="1:14" x14ac:dyDescent="0.25">
      <c r="A22" t="s">
        <v>44</v>
      </c>
      <c r="B22" t="s">
        <v>41</v>
      </c>
      <c r="C22" s="5">
        <v>2.5739192000000001E-3</v>
      </c>
      <c r="D22" s="8">
        <v>0</v>
      </c>
      <c r="E22" s="4">
        <v>6.7701070999999995E-5</v>
      </c>
      <c r="F22" s="8">
        <v>2.0436854999999999E-4</v>
      </c>
      <c r="G22" s="8">
        <v>1.548981E-4</v>
      </c>
      <c r="H22" s="8">
        <v>9.9756470000000001E-6</v>
      </c>
      <c r="I22" s="8">
        <v>6.6294399999999998E-7</v>
      </c>
      <c r="J22" s="8">
        <v>2.1306420999999999E-3</v>
      </c>
      <c r="K22" s="44">
        <v>5.6707279999999997E-6</v>
      </c>
      <c r="L22" s="8">
        <f t="shared" si="0"/>
        <v>2.4190210399999998E-3</v>
      </c>
    </row>
    <row r="23" spans="1:14" x14ac:dyDescent="0.25">
      <c r="A23" t="s">
        <v>45</v>
      </c>
      <c r="B23" t="s">
        <v>46</v>
      </c>
      <c r="C23" s="5">
        <v>1.8731383E-3</v>
      </c>
      <c r="D23" s="8">
        <v>0</v>
      </c>
      <c r="E23" s="5">
        <v>1.1960691E-4</v>
      </c>
      <c r="F23" s="8">
        <v>2.1888944999999999E-4</v>
      </c>
      <c r="G23" s="8">
        <v>1.5279890999999999E-4</v>
      </c>
      <c r="H23" s="8">
        <v>5.4258959999999999E-6</v>
      </c>
      <c r="I23" s="8">
        <v>4.3191499999999999E-7</v>
      </c>
      <c r="J23" s="8">
        <v>1.3717435000000001E-3</v>
      </c>
      <c r="K23" s="44">
        <v>4.2417109999999996E-6</v>
      </c>
      <c r="L23" s="8">
        <f t="shared" si="0"/>
        <v>1.7203393820000002E-3</v>
      </c>
    </row>
    <row r="24" spans="1:14" x14ac:dyDescent="0.25">
      <c r="A24" s="9" t="s">
        <v>47</v>
      </c>
      <c r="B24" s="9" t="s">
        <v>48</v>
      </c>
      <c r="C24" s="12">
        <v>9.3095956999999993E-3</v>
      </c>
      <c r="D24" s="12">
        <v>4.2000000000000002E-4</v>
      </c>
      <c r="E24" s="13">
        <v>1.1160084E-5</v>
      </c>
      <c r="F24" s="10">
        <v>1.4297201E-5</v>
      </c>
      <c r="G24" s="10">
        <v>4.5410931000000001E-5</v>
      </c>
      <c r="H24" s="10">
        <v>3.3366500000000002E-7</v>
      </c>
      <c r="I24" s="10">
        <v>5.5970999999999999E-8</v>
      </c>
      <c r="J24" s="18">
        <v>8.8089555999999996E-3</v>
      </c>
      <c r="K24" s="43">
        <v>9.3823130000000005E-6</v>
      </c>
      <c r="L24" s="10">
        <f t="shared" si="0"/>
        <v>9.2641848339999992E-3</v>
      </c>
      <c r="M24" s="51">
        <f>L24/'Final normalization scores No I'!$D$23</f>
        <v>1.4255040368743772E-2</v>
      </c>
      <c r="N24" t="s">
        <v>137</v>
      </c>
    </row>
    <row r="25" spans="1:14" x14ac:dyDescent="0.25">
      <c r="A25" s="9" t="s">
        <v>49</v>
      </c>
      <c r="B25" s="9" t="s">
        <v>50</v>
      </c>
      <c r="C25" s="12">
        <v>9.5480575000000002E-3</v>
      </c>
      <c r="D25" s="13">
        <v>4.5738000000000002E-4</v>
      </c>
      <c r="E25" s="13">
        <v>2.2618311E-5</v>
      </c>
      <c r="F25" s="10">
        <v>2.610577E-6</v>
      </c>
      <c r="G25" s="10">
        <v>5.306228E-6</v>
      </c>
      <c r="H25" s="10">
        <v>3.9394000000000002E-8</v>
      </c>
      <c r="I25" s="10">
        <v>2.6025017999999998E-9</v>
      </c>
      <c r="J25" s="18">
        <v>9.0600678999999996E-3</v>
      </c>
      <c r="K25" s="43">
        <v>3.2485999999999997E-8</v>
      </c>
      <c r="L25" s="10">
        <f t="shared" si="0"/>
        <v>9.5427512705017984E-3</v>
      </c>
      <c r="M25" s="51">
        <f>L25/'Final normalization scores No I'!$D$29</f>
        <v>2.0665210911652958E-3</v>
      </c>
      <c r="N25" t="s">
        <v>138</v>
      </c>
    </row>
    <row r="26" spans="1:14" x14ac:dyDescent="0.25">
      <c r="A26" s="9" t="s">
        <v>51</v>
      </c>
      <c r="B26" s="9" t="s">
        <v>52</v>
      </c>
      <c r="C26" s="10">
        <v>2.7417644999999999</v>
      </c>
      <c r="D26" s="15">
        <v>0</v>
      </c>
      <c r="E26" s="10">
        <v>5.6107078999999997E-2</v>
      </c>
      <c r="F26" s="10">
        <v>0.10760575999999999</v>
      </c>
      <c r="G26" s="10">
        <v>0.30250378999999999</v>
      </c>
      <c r="H26" s="10">
        <v>3.2463579999999999E-2</v>
      </c>
      <c r="I26" s="10">
        <v>2.8941610000000001E-3</v>
      </c>
      <c r="J26" s="17">
        <v>2.2367564</v>
      </c>
      <c r="K26" s="43">
        <v>3.4336484999999998E-3</v>
      </c>
      <c r="L26" s="10">
        <f t="shared" si="0"/>
        <v>2.4392606285</v>
      </c>
      <c r="M26" s="51">
        <f>L26/'Final normalization scores No I'!$D$17</f>
        <v>1.6047439313932057E-4</v>
      </c>
      <c r="N26" t="s">
        <v>139</v>
      </c>
    </row>
    <row r="27" spans="1:14" x14ac:dyDescent="0.25">
      <c r="A27" s="9" t="s">
        <v>53</v>
      </c>
      <c r="B27" s="9" t="s">
        <v>52</v>
      </c>
      <c r="C27" s="10">
        <v>2.5482547000000002</v>
      </c>
      <c r="D27" s="15">
        <v>0</v>
      </c>
      <c r="E27" s="11">
        <v>1.2890595999999999E-3</v>
      </c>
      <c r="F27" s="10">
        <v>2.1290028999999999E-3</v>
      </c>
      <c r="G27" s="10">
        <v>6.8679661999999997E-3</v>
      </c>
      <c r="H27" s="10">
        <v>6.0520641999999999E-5</v>
      </c>
      <c r="I27" s="10">
        <v>5.1579643000000001E-5</v>
      </c>
      <c r="J27" s="17">
        <v>2.5376126000000001</v>
      </c>
      <c r="K27" s="43">
        <v>2.4390998000000001E-4</v>
      </c>
      <c r="L27" s="10">
        <f t="shared" si="0"/>
        <v>2.5413866727650003</v>
      </c>
      <c r="M27" s="51">
        <f>L27/'Final normalization scores No I'!$D$24</f>
        <v>0.10095001411493257</v>
      </c>
      <c r="N27" t="s">
        <v>140</v>
      </c>
    </row>
    <row r="28" spans="1:14" x14ac:dyDescent="0.25">
      <c r="A28" s="9" t="s">
        <v>54</v>
      </c>
      <c r="B28" s="9" t="s">
        <v>52</v>
      </c>
      <c r="C28" s="10">
        <v>3.2385418000000001</v>
      </c>
      <c r="D28" s="15">
        <v>0</v>
      </c>
      <c r="E28" s="11">
        <v>1.6930539E-3</v>
      </c>
      <c r="F28" s="10">
        <v>2.8012366000000001E-3</v>
      </c>
      <c r="G28" s="10">
        <v>9.1899760000000007E-3</v>
      </c>
      <c r="H28" s="10">
        <v>9.8142884000000001E-5</v>
      </c>
      <c r="I28" s="10">
        <v>7.4168327000000007E-5</v>
      </c>
      <c r="J28" s="17">
        <v>3.2243385</v>
      </c>
      <c r="K28" s="43">
        <v>3.4675152E-4</v>
      </c>
      <c r="L28" s="10">
        <f t="shared" si="0"/>
        <v>3.2293518532309999</v>
      </c>
      <c r="M28" s="51">
        <f>L28/'Final normalization scores No I'!$D$28</f>
        <v>7.4335648927955661E-2</v>
      </c>
      <c r="N28" t="s">
        <v>141</v>
      </c>
    </row>
    <row r="29" spans="1:14" x14ac:dyDescent="0.25">
      <c r="A29" t="s">
        <v>55</v>
      </c>
      <c r="B29" t="s">
        <v>52</v>
      </c>
      <c r="C29" s="7">
        <v>0.22758447000000001</v>
      </c>
      <c r="D29" s="16">
        <v>0</v>
      </c>
      <c r="E29" s="6">
        <v>4.9974065E-3</v>
      </c>
      <c r="F29" s="8">
        <v>1.3238064000000001E-2</v>
      </c>
      <c r="G29" s="8">
        <v>6.8337009000000004E-2</v>
      </c>
      <c r="H29" s="8">
        <v>3.9958094E-4</v>
      </c>
      <c r="I29" s="8">
        <v>2.6901330000000002E-5</v>
      </c>
      <c r="J29" s="17">
        <v>0.13543570999999999</v>
      </c>
      <c r="K29" s="44">
        <v>5.1498066E-3</v>
      </c>
      <c r="L29" s="8">
        <f t="shared" si="0"/>
        <v>0.15924746936999998</v>
      </c>
    </row>
    <row r="30" spans="1:14" x14ac:dyDescent="0.25">
      <c r="A30" s="37" t="s">
        <v>56</v>
      </c>
      <c r="B30" s="37" t="s">
        <v>52</v>
      </c>
      <c r="C30" s="39">
        <v>38.753725000000003</v>
      </c>
      <c r="D30" s="40">
        <v>0</v>
      </c>
      <c r="E30" s="41">
        <v>3.1210265000000001E-2</v>
      </c>
      <c r="F30" s="38">
        <v>5.2878175999999999E-2</v>
      </c>
      <c r="G30" s="38">
        <v>0.19217376999999999</v>
      </c>
      <c r="H30" s="38">
        <v>2.0535818999999999E-3</v>
      </c>
      <c r="I30" s="38">
        <v>1.9059871999999999E-3</v>
      </c>
      <c r="J30" s="17">
        <v>38.439906000000001</v>
      </c>
      <c r="K30" s="45">
        <v>3.3596519999999998E-2</v>
      </c>
      <c r="L30" s="38">
        <f t="shared" si="0"/>
        <v>38.561550530100007</v>
      </c>
      <c r="M30" s="51">
        <f>L30/'Final normalization scores No I'!$D$10</f>
        <v>1.233896875969307E-3</v>
      </c>
    </row>
    <row r="31" spans="1:14" x14ac:dyDescent="0.25">
      <c r="A31" t="s">
        <v>57</v>
      </c>
      <c r="B31" t="s">
        <v>58</v>
      </c>
      <c r="C31" s="6">
        <v>2.2548157999999999E-2</v>
      </c>
      <c r="D31" s="16">
        <v>0</v>
      </c>
      <c r="E31" s="5">
        <v>6.6614549000000003E-4</v>
      </c>
      <c r="F31" s="6">
        <v>3.4618831999999999E-3</v>
      </c>
      <c r="G31" s="6">
        <v>2.07223E-3</v>
      </c>
      <c r="H31" s="6">
        <v>1.3404053999999999E-4</v>
      </c>
      <c r="I31" s="6">
        <v>9.6418630000000004E-6</v>
      </c>
      <c r="J31" s="6">
        <v>1.6148221000000001E-2</v>
      </c>
      <c r="K31" s="46">
        <v>5.5995683999999999E-5</v>
      </c>
      <c r="L31" s="6">
        <f t="shared" si="0"/>
        <v>2.0475927776999997E-2</v>
      </c>
    </row>
    <row r="32" spans="1:14" x14ac:dyDescent="0.25">
      <c r="A32" t="s">
        <v>59</v>
      </c>
      <c r="B32" t="s">
        <v>60</v>
      </c>
      <c r="C32" s="5">
        <v>1.9359721E-3</v>
      </c>
      <c r="D32" s="16">
        <v>0</v>
      </c>
      <c r="E32" s="4">
        <v>9.5653461000000002E-5</v>
      </c>
      <c r="F32" s="8">
        <v>2.3600583E-4</v>
      </c>
      <c r="G32" s="8">
        <v>9.1315673000000005E-4</v>
      </c>
      <c r="H32" s="8">
        <v>5.5352360000000001E-6</v>
      </c>
      <c r="I32" s="8">
        <v>3.3474899999999998E-7</v>
      </c>
      <c r="J32" s="8">
        <v>6.7810435000000002E-4</v>
      </c>
      <c r="K32" s="44">
        <v>7.1817420000000001E-6</v>
      </c>
      <c r="L32" s="8">
        <f t="shared" si="0"/>
        <v>1.0228153680000001E-3</v>
      </c>
    </row>
    <row r="33" spans="1:14" x14ac:dyDescent="0.25">
      <c r="A33" t="s">
        <v>61</v>
      </c>
      <c r="B33" t="s">
        <v>62</v>
      </c>
      <c r="C33" s="7">
        <v>0.12885246</v>
      </c>
      <c r="D33" s="16">
        <v>0</v>
      </c>
      <c r="E33" s="8">
        <v>1.5021349E-2</v>
      </c>
      <c r="F33" s="8">
        <v>2.6193208999999999E-2</v>
      </c>
      <c r="G33" s="8">
        <v>1.494463E-2</v>
      </c>
      <c r="H33" s="8">
        <v>6.6682815999999996E-4</v>
      </c>
      <c r="I33" s="8">
        <v>4.4420260000000003E-5</v>
      </c>
      <c r="J33" s="8">
        <v>7.1681819999999993E-2</v>
      </c>
      <c r="K33" s="44">
        <v>3.0020520999999998E-4</v>
      </c>
      <c r="L33" s="8">
        <f t="shared" si="0"/>
        <v>0.11390783163</v>
      </c>
    </row>
    <row r="34" spans="1:14" x14ac:dyDescent="0.25">
      <c r="A34" s="9" t="s">
        <v>63</v>
      </c>
      <c r="B34" s="9" t="s">
        <v>64</v>
      </c>
      <c r="C34" s="10">
        <v>-0.43556277999999998</v>
      </c>
      <c r="D34" s="10">
        <v>0</v>
      </c>
      <c r="E34" s="12">
        <v>3.4531166999999998E-4</v>
      </c>
      <c r="F34" s="11">
        <v>1.2318883999999999E-3</v>
      </c>
      <c r="G34" s="10">
        <v>-0.43442118000000002</v>
      </c>
      <c r="H34" s="14">
        <v>4.5474949999999997E-6</v>
      </c>
      <c r="I34" s="14">
        <v>-9.0519251000000005E-6</v>
      </c>
      <c r="J34" s="11">
        <v>-2.7202939999999998E-3</v>
      </c>
      <c r="K34" s="47">
        <v>5.9978369999999999E-6</v>
      </c>
      <c r="L34" s="11">
        <f t="shared" si="0"/>
        <v>-1.1416005231000002E-3</v>
      </c>
      <c r="M34" s="51">
        <f>L34/'Final normalization scores No I'!$D$25</f>
        <v>-4.2814419690206848E-6</v>
      </c>
      <c r="N34" t="s">
        <v>142</v>
      </c>
    </row>
    <row r="38" spans="1:14" x14ac:dyDescent="0.25">
      <c r="B38" s="53" t="s">
        <v>143</v>
      </c>
      <c r="C38" s="53"/>
    </row>
    <row r="39" spans="1:14" x14ac:dyDescent="0.25">
      <c r="B39" s="51">
        <f>M17</f>
        <v>5.2493077970682748E-4</v>
      </c>
      <c r="C39" t="s">
        <v>136</v>
      </c>
    </row>
    <row r="40" spans="1:14" x14ac:dyDescent="0.25">
      <c r="B40" s="51">
        <f>M24</f>
        <v>1.4255040368743772E-2</v>
      </c>
      <c r="C40" t="s">
        <v>137</v>
      </c>
    </row>
    <row r="41" spans="1:14" x14ac:dyDescent="0.25">
      <c r="B41" s="51">
        <f t="shared" ref="B41:B44" si="1">M25</f>
        <v>2.0665210911652958E-3</v>
      </c>
      <c r="C41" t="s">
        <v>138</v>
      </c>
    </row>
    <row r="42" spans="1:14" x14ac:dyDescent="0.25">
      <c r="B42" s="51">
        <f t="shared" si="1"/>
        <v>1.6047439313932057E-4</v>
      </c>
      <c r="C42" t="s">
        <v>139</v>
      </c>
    </row>
    <row r="43" spans="1:14" x14ac:dyDescent="0.25">
      <c r="B43" s="51">
        <f t="shared" si="1"/>
        <v>0.10095001411493257</v>
      </c>
      <c r="C43" t="s">
        <v>140</v>
      </c>
    </row>
    <row r="44" spans="1:14" x14ac:dyDescent="0.25">
      <c r="B44" s="51">
        <f t="shared" si="1"/>
        <v>7.4335648927955661E-2</v>
      </c>
      <c r="C44" t="s">
        <v>141</v>
      </c>
    </row>
    <row r="45" spans="1:14" x14ac:dyDescent="0.25">
      <c r="B45" s="51">
        <f>M34</f>
        <v>-4.2814419690206848E-6</v>
      </c>
      <c r="C45" t="s">
        <v>142</v>
      </c>
    </row>
  </sheetData>
  <mergeCells count="1">
    <mergeCell ref="B38:C38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9178-C5CA-2E4C-BCAF-39E47B9F5175}">
  <dimension ref="A1:N45"/>
  <sheetViews>
    <sheetView topLeftCell="A13" zoomScaleNormal="100" workbookViewId="0">
      <selection activeCell="I37" sqref="I37"/>
    </sheetView>
  </sheetViews>
  <sheetFormatPr baseColWidth="10" defaultRowHeight="15" x14ac:dyDescent="0.25"/>
  <cols>
    <col min="1" max="1" width="32" customWidth="1"/>
    <col min="2" max="3" width="10.7109375" customWidth="1"/>
    <col min="4" max="4" width="16.28515625" bestFit="1" customWidth="1"/>
    <col min="5" max="5" width="17" customWidth="1"/>
    <col min="6" max="6" width="22" customWidth="1"/>
    <col min="7" max="7" width="19.140625" customWidth="1"/>
    <col min="8" max="8" width="22.42578125" customWidth="1"/>
    <col min="9" max="9" width="14.85546875" customWidth="1"/>
    <col min="10" max="10" width="20.85546875" customWidth="1"/>
    <col min="11" max="11" width="26" customWidth="1"/>
    <col min="12" max="12" width="18.140625" bestFit="1" customWidth="1"/>
    <col min="13" max="13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s="1">
        <v>46227</v>
      </c>
      <c r="E1" t="s">
        <v>3</v>
      </c>
      <c r="F1" s="2">
        <v>0.458960902778</v>
      </c>
    </row>
    <row r="2" spans="1:13" x14ac:dyDescent="0.25">
      <c r="A2" t="s">
        <v>4</v>
      </c>
      <c r="B2" t="s">
        <v>5</v>
      </c>
    </row>
    <row r="5" spans="1:13" x14ac:dyDescent="0.25">
      <c r="A5" t="s">
        <v>6</v>
      </c>
      <c r="B5" t="s">
        <v>7</v>
      </c>
    </row>
    <row r="6" spans="1:13" x14ac:dyDescent="0.25">
      <c r="A6" t="s">
        <v>8</v>
      </c>
      <c r="B6" t="s">
        <v>9</v>
      </c>
    </row>
    <row r="7" spans="1:13" x14ac:dyDescent="0.25">
      <c r="A7" t="s">
        <v>10</v>
      </c>
      <c r="B7" t="s">
        <v>68</v>
      </c>
    </row>
    <row r="8" spans="1:13" x14ac:dyDescent="0.25">
      <c r="A8" t="s">
        <v>12</v>
      </c>
      <c r="B8" t="s">
        <v>13</v>
      </c>
    </row>
    <row r="9" spans="1:13" x14ac:dyDescent="0.25">
      <c r="A9" t="s">
        <v>14</v>
      </c>
      <c r="B9" t="s">
        <v>15</v>
      </c>
    </row>
    <row r="10" spans="1:13" x14ac:dyDescent="0.25">
      <c r="A10" t="s">
        <v>16</v>
      </c>
      <c r="B10" t="s">
        <v>17</v>
      </c>
      <c r="G10" t="s">
        <v>149</v>
      </c>
    </row>
    <row r="11" spans="1:13" x14ac:dyDescent="0.25">
      <c r="A11" t="s">
        <v>18</v>
      </c>
      <c r="B11" t="s">
        <v>19</v>
      </c>
    </row>
    <row r="12" spans="1:13" ht="15" customHeight="1" x14ac:dyDescent="0.25">
      <c r="A12" t="s">
        <v>20</v>
      </c>
      <c r="B12" t="s">
        <v>19</v>
      </c>
      <c r="G12" s="52"/>
    </row>
    <row r="13" spans="1:13" ht="45" customHeight="1" x14ac:dyDescent="0.25">
      <c r="A13" t="s">
        <v>21</v>
      </c>
      <c r="B13" t="s">
        <v>22</v>
      </c>
      <c r="G13" s="52" t="s">
        <v>152</v>
      </c>
      <c r="L13" s="54" t="s">
        <v>150</v>
      </c>
    </row>
    <row r="14" spans="1:13" x14ac:dyDescent="0.25">
      <c r="A14" t="s">
        <v>23</v>
      </c>
      <c r="B14" t="s">
        <v>24</v>
      </c>
      <c r="G14" s="52"/>
      <c r="L14" s="54"/>
      <c r="M14" t="s">
        <v>151</v>
      </c>
    </row>
    <row r="16" spans="1:13" x14ac:dyDescent="0.25">
      <c r="A16" t="s">
        <v>22</v>
      </c>
      <c r="B16" t="s">
        <v>25</v>
      </c>
      <c r="C16" t="s">
        <v>26</v>
      </c>
      <c r="D16" t="s">
        <v>67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32</v>
      </c>
      <c r="K16" s="42" t="s">
        <v>33</v>
      </c>
      <c r="L16" t="s">
        <v>135</v>
      </c>
      <c r="M16" t="s">
        <v>66</v>
      </c>
    </row>
    <row r="17" spans="1:14" x14ac:dyDescent="0.25">
      <c r="A17" s="9" t="s">
        <v>34</v>
      </c>
      <c r="B17" s="9" t="s">
        <v>35</v>
      </c>
      <c r="C17" s="9">
        <v>506.41388999999998</v>
      </c>
      <c r="D17" s="9">
        <v>9.8059999999999992</v>
      </c>
      <c r="E17" s="9">
        <v>4.2879183999999997</v>
      </c>
      <c r="F17" s="9">
        <v>10.333265000000001</v>
      </c>
      <c r="G17" s="9">
        <v>7.3566988999999996</v>
      </c>
      <c r="H17" s="9">
        <v>0.25486509000000002</v>
      </c>
      <c r="I17" s="9">
        <v>1.4886012000000001E-2</v>
      </c>
      <c r="J17" s="36">
        <v>474.10255000000001</v>
      </c>
      <c r="K17" s="48">
        <v>0.25771369999999999</v>
      </c>
      <c r="L17" s="9">
        <f>SUM(D17:F17,H17:K17)</f>
        <v>499.057198202</v>
      </c>
      <c r="M17" s="51">
        <f>L17/'Final normalization scores No I'!$D$4</f>
        <v>6.2457038473821377E-2</v>
      </c>
      <c r="N17" t="s">
        <v>136</v>
      </c>
    </row>
    <row r="18" spans="1:14" x14ac:dyDescent="0.25">
      <c r="A18" t="s">
        <v>36</v>
      </c>
      <c r="B18" t="s">
        <v>37</v>
      </c>
      <c r="C18">
        <v>3.8590116999999999E-4</v>
      </c>
      <c r="D18">
        <v>1.3200000000000001E-4</v>
      </c>
      <c r="E18">
        <v>6.4247999999999997E-7</v>
      </c>
      <c r="F18">
        <v>6.1668309999999998E-6</v>
      </c>
      <c r="G18">
        <v>1.5955199999999999E-6</v>
      </c>
      <c r="H18">
        <v>7.3194E-8</v>
      </c>
      <c r="I18">
        <v>4.3922175000000004E-9</v>
      </c>
      <c r="J18">
        <v>2.4539598999999998E-4</v>
      </c>
      <c r="K18" s="42">
        <v>2.2758000000000001E-8</v>
      </c>
      <c r="L18">
        <f t="shared" ref="L18:L34" si="0">SUM(D18:F18,H18:K18)</f>
        <v>3.8430564521749997E-4</v>
      </c>
    </row>
    <row r="19" spans="1:14" x14ac:dyDescent="0.25">
      <c r="A19" t="s">
        <v>38</v>
      </c>
      <c r="B19" t="s">
        <v>39</v>
      </c>
      <c r="C19">
        <v>12.480991</v>
      </c>
      <c r="D19">
        <v>0</v>
      </c>
      <c r="E19">
        <v>0.10609752</v>
      </c>
      <c r="F19">
        <v>10.733447999999999</v>
      </c>
      <c r="G19">
        <v>0.29831317000000002</v>
      </c>
      <c r="H19">
        <v>2.5688476000000002E-3</v>
      </c>
      <c r="I19">
        <v>1.7436639999999999E-4</v>
      </c>
      <c r="J19">
        <v>1.3381411999999999</v>
      </c>
      <c r="K19" s="42">
        <v>2.2482140000000001E-3</v>
      </c>
      <c r="L19">
        <f t="shared" si="0"/>
        <v>12.182678147999999</v>
      </c>
    </row>
    <row r="20" spans="1:14" x14ac:dyDescent="0.25">
      <c r="A20" t="s">
        <v>40</v>
      </c>
      <c r="B20" t="s">
        <v>41</v>
      </c>
      <c r="C20">
        <v>0.29975131999999999</v>
      </c>
      <c r="D20">
        <v>0</v>
      </c>
      <c r="E20">
        <v>7.3699331E-3</v>
      </c>
      <c r="F20">
        <v>2.3357749000000001E-2</v>
      </c>
      <c r="G20">
        <v>1.7937706000000001E-2</v>
      </c>
      <c r="H20">
        <v>1.1539562000000001E-3</v>
      </c>
      <c r="I20">
        <v>7.6279797000000006E-5</v>
      </c>
      <c r="J20">
        <v>0.24919181000000001</v>
      </c>
      <c r="K20" s="42">
        <v>6.6387819999999998E-4</v>
      </c>
      <c r="L20">
        <f t="shared" si="0"/>
        <v>0.28181360629700003</v>
      </c>
    </row>
    <row r="21" spans="1:14" x14ac:dyDescent="0.25">
      <c r="A21" t="s">
        <v>42</v>
      </c>
      <c r="B21" t="s">
        <v>43</v>
      </c>
      <c r="C21">
        <v>9.5857830000000005E-2</v>
      </c>
      <c r="D21">
        <v>0</v>
      </c>
      <c r="E21">
        <v>4.6449977999999999E-3</v>
      </c>
      <c r="F21">
        <v>9.5224344999999995E-3</v>
      </c>
      <c r="G21">
        <v>1.1968268000000001E-2</v>
      </c>
      <c r="H21">
        <v>2.9692538999999998E-4</v>
      </c>
      <c r="I21">
        <v>2.2512442999999999E-5</v>
      </c>
      <c r="J21">
        <v>6.9188105999999999E-2</v>
      </c>
      <c r="K21" s="42">
        <v>2.1458649E-4</v>
      </c>
      <c r="L21">
        <f t="shared" si="0"/>
        <v>8.3889562623E-2</v>
      </c>
    </row>
    <row r="22" spans="1:14" x14ac:dyDescent="0.25">
      <c r="A22" t="s">
        <v>44</v>
      </c>
      <c r="B22" t="s">
        <v>41</v>
      </c>
      <c r="C22">
        <v>0.30979973999999999</v>
      </c>
      <c r="D22">
        <v>0</v>
      </c>
      <c r="E22">
        <v>8.1241284999999993E-3</v>
      </c>
      <c r="F22">
        <v>2.4638825E-2</v>
      </c>
      <c r="G22">
        <v>1.8694598999999999E-2</v>
      </c>
      <c r="H22">
        <v>1.2063573E-3</v>
      </c>
      <c r="I22">
        <v>7.9721085000000004E-5</v>
      </c>
      <c r="J22">
        <v>0.25637563000000002</v>
      </c>
      <c r="K22" s="42">
        <v>6.8048735000000003E-4</v>
      </c>
      <c r="L22">
        <f t="shared" si="0"/>
        <v>0.29110514923500003</v>
      </c>
    </row>
    <row r="23" spans="1:14" x14ac:dyDescent="0.25">
      <c r="A23" t="s">
        <v>45</v>
      </c>
      <c r="B23" t="s">
        <v>46</v>
      </c>
      <c r="C23">
        <v>0.22545962</v>
      </c>
      <c r="D23">
        <v>0</v>
      </c>
      <c r="E23">
        <v>1.435283E-2</v>
      </c>
      <c r="F23">
        <v>2.6389474999999999E-2</v>
      </c>
      <c r="G23">
        <v>1.8441247000000001E-2</v>
      </c>
      <c r="H23">
        <v>6.5615484000000005E-4</v>
      </c>
      <c r="I23">
        <v>5.1939189999999998E-5</v>
      </c>
      <c r="J23">
        <v>0.16505897</v>
      </c>
      <c r="K23" s="42">
        <v>5.0900531000000004E-4</v>
      </c>
      <c r="L23">
        <f t="shared" si="0"/>
        <v>0.20701837434000001</v>
      </c>
    </row>
    <row r="24" spans="1:14" x14ac:dyDescent="0.25">
      <c r="A24" s="9" t="s">
        <v>47</v>
      </c>
      <c r="B24" s="9" t="s">
        <v>48</v>
      </c>
      <c r="C24" s="9">
        <v>1.1198693</v>
      </c>
      <c r="D24" s="9">
        <v>5.0189999999999999E-2</v>
      </c>
      <c r="E24" s="9">
        <v>1.3392101E-3</v>
      </c>
      <c r="F24" s="9">
        <v>1.7236812E-3</v>
      </c>
      <c r="G24" s="9">
        <v>5.4806296000000001E-3</v>
      </c>
      <c r="H24" s="9">
        <v>4.0350204999999999E-5</v>
      </c>
      <c r="I24" s="9">
        <v>6.7307179999999999E-6</v>
      </c>
      <c r="J24" s="36">
        <v>1.0599628000000001</v>
      </c>
      <c r="K24" s="48">
        <v>1.1258774999999999E-3</v>
      </c>
      <c r="L24" s="9">
        <f t="shared" si="0"/>
        <v>1.1143886497230002</v>
      </c>
      <c r="M24" s="51">
        <f>L24/'Final normalization scores No I'!$D$23</f>
        <v>1.7147385844429743</v>
      </c>
      <c r="N24" t="s">
        <v>137</v>
      </c>
    </row>
    <row r="25" spans="1:14" x14ac:dyDescent="0.25">
      <c r="A25" s="9" t="s">
        <v>49</v>
      </c>
      <c r="B25" s="9" t="s">
        <v>50</v>
      </c>
      <c r="C25" s="9">
        <v>1.1490781999999999</v>
      </c>
      <c r="D25" s="9">
        <v>5.522121E-2</v>
      </c>
      <c r="E25" s="9">
        <v>2.7141972999999999E-3</v>
      </c>
      <c r="F25" s="9">
        <v>3.1473306000000001E-4</v>
      </c>
      <c r="G25" s="9">
        <v>6.4040677000000001E-4</v>
      </c>
      <c r="H25" s="9">
        <v>4.7639219999999996E-6</v>
      </c>
      <c r="I25" s="9">
        <v>3.1295899999999999E-7</v>
      </c>
      <c r="J25" s="36">
        <v>1.0901787000000001</v>
      </c>
      <c r="K25" s="48">
        <v>3.8982619999999998E-6</v>
      </c>
      <c r="L25" s="9">
        <f t="shared" si="0"/>
        <v>1.1484378155030002</v>
      </c>
      <c r="M25" s="51">
        <f>L25/'Final normalization scores No I'!$D$29</f>
        <v>0.24869881864834056</v>
      </c>
      <c r="N25" t="s">
        <v>138</v>
      </c>
    </row>
    <row r="26" spans="1:14" x14ac:dyDescent="0.25">
      <c r="A26" s="9" t="s">
        <v>51</v>
      </c>
      <c r="B26" s="9" t="s">
        <v>52</v>
      </c>
      <c r="C26" s="9">
        <v>330.04498999999998</v>
      </c>
      <c r="D26" s="9">
        <v>0</v>
      </c>
      <c r="E26" s="9">
        <v>6.7328495000000004</v>
      </c>
      <c r="F26" s="9">
        <v>12.973031000000001</v>
      </c>
      <c r="G26" s="9">
        <v>36.509079</v>
      </c>
      <c r="H26" s="9">
        <v>3.9258283</v>
      </c>
      <c r="I26" s="9">
        <v>0.34803202</v>
      </c>
      <c r="J26" s="36">
        <v>269.14413999999999</v>
      </c>
      <c r="K26" s="48">
        <v>0.41203782</v>
      </c>
      <c r="L26" s="9">
        <f t="shared" si="0"/>
        <v>293.53591864000003</v>
      </c>
      <c r="M26" s="51">
        <f>L26/'Final normalization scores No I'!$D$17</f>
        <v>1.9311178911338291E-2</v>
      </c>
      <c r="N26" t="s">
        <v>139</v>
      </c>
    </row>
    <row r="27" spans="1:14" x14ac:dyDescent="0.25">
      <c r="A27" s="9" t="s">
        <v>53</v>
      </c>
      <c r="B27" s="9" t="s">
        <v>52</v>
      </c>
      <c r="C27" s="9">
        <v>306.62855999999999</v>
      </c>
      <c r="D27" s="9">
        <v>0</v>
      </c>
      <c r="E27" s="9">
        <v>0.15468715</v>
      </c>
      <c r="F27" s="9">
        <v>0.25667419000000002</v>
      </c>
      <c r="G27" s="9">
        <v>0.82889246999999999</v>
      </c>
      <c r="H27" s="9">
        <v>7.3187753000000001E-3</v>
      </c>
      <c r="I27" s="9">
        <v>6.2026153000000004E-3</v>
      </c>
      <c r="J27" s="36">
        <v>305.34552000000002</v>
      </c>
      <c r="K27" s="48">
        <v>2.9269198E-2</v>
      </c>
      <c r="L27" s="9">
        <f t="shared" si="0"/>
        <v>305.79967192860005</v>
      </c>
      <c r="M27" s="51">
        <f>L27/'Final normalization scores No I'!$D$24</f>
        <v>12.147101237430817</v>
      </c>
      <c r="N27" t="s">
        <v>140</v>
      </c>
    </row>
    <row r="28" spans="1:14" x14ac:dyDescent="0.25">
      <c r="A28" s="9" t="s">
        <v>54</v>
      </c>
      <c r="B28" s="9" t="s">
        <v>52</v>
      </c>
      <c r="C28" s="9">
        <v>389.6902</v>
      </c>
      <c r="D28" s="9">
        <v>0</v>
      </c>
      <c r="E28" s="9">
        <v>0.20316645999999999</v>
      </c>
      <c r="F28" s="9">
        <v>0.33771917000000001</v>
      </c>
      <c r="G28" s="9">
        <v>1.109135</v>
      </c>
      <c r="H28" s="9">
        <v>1.1868442E-2</v>
      </c>
      <c r="I28" s="9">
        <v>8.9189760000000003E-3</v>
      </c>
      <c r="J28" s="36">
        <v>387.97778</v>
      </c>
      <c r="K28" s="48">
        <v>4.1610183000000002E-2</v>
      </c>
      <c r="L28" s="9">
        <f t="shared" si="0"/>
        <v>388.58106323099997</v>
      </c>
      <c r="M28" s="51">
        <f>L28/'Final normalization scores No I'!$D$28</f>
        <v>8.9446510659689142</v>
      </c>
      <c r="N28" t="s">
        <v>141</v>
      </c>
    </row>
    <row r="29" spans="1:14" x14ac:dyDescent="0.25">
      <c r="A29" t="s">
        <v>55</v>
      </c>
      <c r="B29" t="s">
        <v>52</v>
      </c>
      <c r="C29">
        <v>27.409472999999998</v>
      </c>
      <c r="D29">
        <v>0</v>
      </c>
      <c r="E29">
        <v>0.59968878999999997</v>
      </c>
      <c r="F29">
        <v>1.5959909000000001</v>
      </c>
      <c r="G29">
        <v>8.2475701000000008</v>
      </c>
      <c r="H29">
        <v>4.8321415999999999E-2</v>
      </c>
      <c r="I29">
        <v>3.2349700999999998E-3</v>
      </c>
      <c r="J29">
        <v>16.296690000000002</v>
      </c>
      <c r="K29" s="42">
        <v>0.61797679000000005</v>
      </c>
      <c r="L29">
        <f t="shared" si="0"/>
        <v>19.1619028661</v>
      </c>
    </row>
    <row r="30" spans="1:14" x14ac:dyDescent="0.25">
      <c r="A30" s="37" t="s">
        <v>56</v>
      </c>
      <c r="B30" s="37" t="s">
        <v>52</v>
      </c>
      <c r="C30" s="37">
        <v>4663.2147999999997</v>
      </c>
      <c r="D30" s="37">
        <v>0</v>
      </c>
      <c r="E30" s="37">
        <v>3.7452317000000002</v>
      </c>
      <c r="F30" s="37">
        <v>6.3750324000000003</v>
      </c>
      <c r="G30" s="37">
        <v>23.193386</v>
      </c>
      <c r="H30" s="37">
        <v>0.24834013999999999</v>
      </c>
      <c r="I30" s="37">
        <v>0.22920098999999999</v>
      </c>
      <c r="J30" s="37">
        <v>4625.3919999999998</v>
      </c>
      <c r="K30" s="49">
        <v>4.0315823999999996</v>
      </c>
      <c r="L30" s="37">
        <f t="shared" si="0"/>
        <v>4640.0213876299995</v>
      </c>
      <c r="M30" s="51">
        <f>L30/'Final normalization scores No I'!$D$10</f>
        <v>0.14847193165011399</v>
      </c>
    </row>
    <row r="31" spans="1:14" x14ac:dyDescent="0.25">
      <c r="A31" t="s">
        <v>57</v>
      </c>
      <c r="B31" t="s">
        <v>58</v>
      </c>
      <c r="C31">
        <v>2.7145709999999998</v>
      </c>
      <c r="D31">
        <v>0</v>
      </c>
      <c r="E31">
        <v>7.9937459000000002E-2</v>
      </c>
      <c r="F31">
        <v>0.41736722999999998</v>
      </c>
      <c r="G31">
        <v>0.25009671999999999</v>
      </c>
      <c r="H31">
        <v>1.6209554000000001E-2</v>
      </c>
      <c r="I31">
        <v>1.1594645E-3</v>
      </c>
      <c r="J31">
        <v>1.9430810999999999</v>
      </c>
      <c r="K31" s="42">
        <v>6.7194821000000002E-3</v>
      </c>
      <c r="L31">
        <f t="shared" si="0"/>
        <v>2.4644742895999996</v>
      </c>
    </row>
    <row r="32" spans="1:14" x14ac:dyDescent="0.25">
      <c r="A32" t="s">
        <v>59</v>
      </c>
      <c r="B32" t="s">
        <v>60</v>
      </c>
      <c r="C32">
        <v>0.23330632000000001</v>
      </c>
      <c r="D32">
        <v>0</v>
      </c>
      <c r="E32">
        <v>1.1478415E-2</v>
      </c>
      <c r="F32">
        <v>2.8453039999999999E-2</v>
      </c>
      <c r="G32">
        <v>0.11020857000000001</v>
      </c>
      <c r="H32">
        <v>6.6937743999999995E-4</v>
      </c>
      <c r="I32">
        <v>4.0254589000000002E-5</v>
      </c>
      <c r="J32">
        <v>8.1594851999999995E-2</v>
      </c>
      <c r="K32" s="42">
        <v>8.6180901000000002E-4</v>
      </c>
      <c r="L32">
        <f t="shared" si="0"/>
        <v>0.12309774803899999</v>
      </c>
    </row>
    <row r="33" spans="1:14" x14ac:dyDescent="0.25">
      <c r="A33" t="s">
        <v>61</v>
      </c>
      <c r="B33" t="s">
        <v>62</v>
      </c>
      <c r="C33">
        <v>15.511424</v>
      </c>
      <c r="D33">
        <v>0</v>
      </c>
      <c r="E33">
        <v>1.8025618999999999</v>
      </c>
      <c r="F33">
        <v>3.1578729000000001</v>
      </c>
      <c r="G33">
        <v>1.8036622</v>
      </c>
      <c r="H33">
        <v>8.0639684000000003E-2</v>
      </c>
      <c r="I33">
        <v>5.3416768999999999E-3</v>
      </c>
      <c r="J33">
        <v>8.6253206000000002</v>
      </c>
      <c r="K33" s="42">
        <v>3.6024624999999998E-2</v>
      </c>
      <c r="L33">
        <f t="shared" si="0"/>
        <v>13.7077613859</v>
      </c>
    </row>
    <row r="34" spans="1:14" x14ac:dyDescent="0.25">
      <c r="A34" s="9" t="s">
        <v>63</v>
      </c>
      <c r="B34" s="9" t="s">
        <v>64</v>
      </c>
      <c r="C34" s="9">
        <v>-52.567334000000002</v>
      </c>
      <c r="D34" s="9">
        <v>0</v>
      </c>
      <c r="E34" s="9">
        <v>4.1437399999999999E-2</v>
      </c>
      <c r="F34" s="9">
        <v>0.14851738</v>
      </c>
      <c r="G34" s="9">
        <v>-52.430141999999996</v>
      </c>
      <c r="H34" s="9">
        <v>5.4992959000000003E-4</v>
      </c>
      <c r="I34" s="9">
        <v>-1.0885226E-3</v>
      </c>
      <c r="J34" s="9">
        <v>-0.32732718</v>
      </c>
      <c r="K34" s="48">
        <v>7.1974042999999998E-4</v>
      </c>
      <c r="L34" s="9">
        <f t="shared" si="0"/>
        <v>-0.13719125258000001</v>
      </c>
      <c r="M34" s="51">
        <f>L34/'Final normalization scores No I'!$D$25</f>
        <v>-5.1452007483626324E-4</v>
      </c>
      <c r="N34" t="s">
        <v>142</v>
      </c>
    </row>
    <row r="38" spans="1:14" ht="15.95" customHeight="1" x14ac:dyDescent="0.25">
      <c r="B38" s="53" t="s">
        <v>143</v>
      </c>
      <c r="C38" s="53"/>
    </row>
    <row r="39" spans="1:14" x14ac:dyDescent="0.25">
      <c r="B39" s="51">
        <f>M17</f>
        <v>6.2457038473821377E-2</v>
      </c>
      <c r="C39" t="s">
        <v>136</v>
      </c>
    </row>
    <row r="40" spans="1:14" x14ac:dyDescent="0.25">
      <c r="B40" s="51">
        <f>M24</f>
        <v>1.7147385844429743</v>
      </c>
      <c r="C40" t="s">
        <v>137</v>
      </c>
    </row>
    <row r="41" spans="1:14" x14ac:dyDescent="0.25">
      <c r="B41" s="51">
        <f t="shared" ref="B41:B44" si="1">M25</f>
        <v>0.24869881864834056</v>
      </c>
      <c r="C41" t="s">
        <v>138</v>
      </c>
    </row>
    <row r="42" spans="1:14" x14ac:dyDescent="0.25">
      <c r="B42" s="51">
        <f t="shared" si="1"/>
        <v>1.9311178911338291E-2</v>
      </c>
      <c r="C42" t="s">
        <v>139</v>
      </c>
    </row>
    <row r="43" spans="1:14" x14ac:dyDescent="0.25">
      <c r="B43" s="51">
        <f t="shared" si="1"/>
        <v>12.147101237430817</v>
      </c>
      <c r="C43" t="s">
        <v>140</v>
      </c>
    </row>
    <row r="44" spans="1:14" x14ac:dyDescent="0.25">
      <c r="B44" s="51">
        <f t="shared" si="1"/>
        <v>8.9446510659689142</v>
      </c>
      <c r="C44" t="s">
        <v>141</v>
      </c>
    </row>
    <row r="45" spans="1:14" x14ac:dyDescent="0.25">
      <c r="B45" s="51">
        <f>M34</f>
        <v>-5.1452007483626324E-4</v>
      </c>
      <c r="C45" t="s">
        <v>142</v>
      </c>
    </row>
  </sheetData>
  <mergeCells count="2">
    <mergeCell ref="B38:C38"/>
    <mergeCell ref="L13:L14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37D6-1324-C545-9BAB-BABAF9053148}">
  <dimension ref="A1:L45"/>
  <sheetViews>
    <sheetView zoomScaleNormal="100" workbookViewId="0">
      <selection activeCell="M21" sqref="M21"/>
    </sheetView>
  </sheetViews>
  <sheetFormatPr baseColWidth="10" defaultRowHeight="15" x14ac:dyDescent="0.25"/>
  <cols>
    <col min="1" max="1" width="30.85546875" customWidth="1"/>
    <col min="4" max="4" width="12.42578125" bestFit="1" customWidth="1"/>
    <col min="5" max="5" width="23.7109375" customWidth="1"/>
    <col min="6" max="6" width="12.28515625" customWidth="1"/>
    <col min="7" max="7" width="10.85546875" customWidth="1"/>
    <col min="8" max="8" width="4.7109375" customWidth="1"/>
    <col min="9" max="9" width="19.85546875" customWidth="1"/>
    <col min="10" max="10" width="17.42578125" bestFit="1" customWidth="1"/>
    <col min="11" max="11" width="12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1">
        <v>46227</v>
      </c>
      <c r="E1" t="s">
        <v>3</v>
      </c>
      <c r="F1" s="2">
        <v>0.45961822916700001</v>
      </c>
    </row>
    <row r="2" spans="1:11" x14ac:dyDescent="0.25">
      <c r="A2" t="s">
        <v>4</v>
      </c>
      <c r="B2" t="s">
        <v>5</v>
      </c>
    </row>
    <row r="5" spans="1:11" x14ac:dyDescent="0.25">
      <c r="A5" t="s">
        <v>6</v>
      </c>
      <c r="B5" t="s">
        <v>7</v>
      </c>
    </row>
    <row r="6" spans="1:11" x14ac:dyDescent="0.25">
      <c r="A6" t="s">
        <v>8</v>
      </c>
      <c r="B6" t="s">
        <v>9</v>
      </c>
    </row>
    <row r="7" spans="1:11" x14ac:dyDescent="0.25">
      <c r="A7" t="s">
        <v>10</v>
      </c>
      <c r="B7" t="s">
        <v>74</v>
      </c>
    </row>
    <row r="8" spans="1:11" x14ac:dyDescent="0.25">
      <c r="A8" t="s">
        <v>12</v>
      </c>
      <c r="B8" t="s">
        <v>13</v>
      </c>
    </row>
    <row r="9" spans="1:11" x14ac:dyDescent="0.25">
      <c r="A9" t="s">
        <v>14</v>
      </c>
      <c r="B9" t="s">
        <v>15</v>
      </c>
    </row>
    <row r="10" spans="1:11" x14ac:dyDescent="0.25">
      <c r="A10" t="s">
        <v>16</v>
      </c>
      <c r="B10" t="s">
        <v>17</v>
      </c>
    </row>
    <row r="11" spans="1:11" x14ac:dyDescent="0.25">
      <c r="A11" t="s">
        <v>18</v>
      </c>
      <c r="B11" t="s">
        <v>19</v>
      </c>
    </row>
    <row r="12" spans="1:11" x14ac:dyDescent="0.25">
      <c r="A12" t="s">
        <v>20</v>
      </c>
      <c r="B12" t="s">
        <v>19</v>
      </c>
    </row>
    <row r="13" spans="1:11" x14ac:dyDescent="0.25">
      <c r="A13" t="s">
        <v>21</v>
      </c>
      <c r="B13" t="s">
        <v>22</v>
      </c>
    </row>
    <row r="14" spans="1:11" x14ac:dyDescent="0.25">
      <c r="A14" t="s">
        <v>23</v>
      </c>
      <c r="B14" t="s">
        <v>24</v>
      </c>
    </row>
    <row r="16" spans="1:11" x14ac:dyDescent="0.25">
      <c r="A16" t="s">
        <v>22</v>
      </c>
      <c r="B16" t="s">
        <v>25</v>
      </c>
      <c r="C16" t="s">
        <v>26</v>
      </c>
      <c r="D16" t="s">
        <v>73</v>
      </c>
      <c r="E16" t="s">
        <v>72</v>
      </c>
      <c r="F16" t="s">
        <v>71</v>
      </c>
      <c r="G16" t="s">
        <v>70</v>
      </c>
      <c r="H16" t="s">
        <v>29</v>
      </c>
      <c r="I16" s="42" t="s">
        <v>69</v>
      </c>
      <c r="J16" t="s">
        <v>135</v>
      </c>
      <c r="K16" t="s">
        <v>66</v>
      </c>
    </row>
    <row r="17" spans="1:12" x14ac:dyDescent="0.25">
      <c r="A17" s="9" t="s">
        <v>34</v>
      </c>
      <c r="B17" s="9" t="s">
        <v>35</v>
      </c>
      <c r="C17" s="9">
        <v>1.2842439999999999</v>
      </c>
      <c r="D17" s="36">
        <v>0.52768000000000004</v>
      </c>
      <c r="E17" s="9">
        <v>2.9497281E-2</v>
      </c>
      <c r="F17" s="9">
        <v>0.11811811</v>
      </c>
      <c r="G17" s="36">
        <v>0.47725442000000001</v>
      </c>
      <c r="H17" s="9">
        <v>3.6433174999999998E-2</v>
      </c>
      <c r="I17" s="48">
        <v>9.5261042000000004E-2</v>
      </c>
      <c r="J17" s="9">
        <f t="shared" ref="J17:J34" si="0">SUM(D17:G17,I17)</f>
        <v>1.2478108530000001</v>
      </c>
      <c r="K17" s="51">
        <f>J17/'Final normalization scores No I'!$D$4</f>
        <v>1.5616360356018316E-4</v>
      </c>
      <c r="L17" t="s">
        <v>136</v>
      </c>
    </row>
    <row r="18" spans="1:12" x14ac:dyDescent="0.25">
      <c r="A18" t="s">
        <v>36</v>
      </c>
      <c r="B18" t="s">
        <v>37</v>
      </c>
      <c r="C18">
        <v>5.3486659999999996E-6</v>
      </c>
      <c r="D18" s="36">
        <v>3.9600000000000002E-6</v>
      </c>
      <c r="E18">
        <v>1.2029999999999999E-8</v>
      </c>
      <c r="F18">
        <v>2.4853999999999999E-8</v>
      </c>
      <c r="G18">
        <v>2.8154000000000002E-7</v>
      </c>
      <c r="H18">
        <v>7.9016234999999993E-9</v>
      </c>
      <c r="I18" s="42">
        <v>1.06234E-6</v>
      </c>
      <c r="J18">
        <f t="shared" si="0"/>
        <v>5.3407640000000005E-6</v>
      </c>
    </row>
    <row r="19" spans="1:12" x14ac:dyDescent="0.25">
      <c r="A19" t="s">
        <v>38</v>
      </c>
      <c r="B19" t="s">
        <v>39</v>
      </c>
      <c r="C19">
        <v>0.49231966999999999</v>
      </c>
      <c r="D19">
        <v>0</v>
      </c>
      <c r="E19">
        <v>1.4952474E-3</v>
      </c>
      <c r="F19">
        <v>3.4455343000000002E-3</v>
      </c>
      <c r="G19" s="36">
        <v>0.48553043000000001</v>
      </c>
      <c r="H19">
        <v>1.4773604E-3</v>
      </c>
      <c r="I19" s="42">
        <v>3.7110167999999998E-4</v>
      </c>
      <c r="J19">
        <f t="shared" si="0"/>
        <v>0.49084231338000001</v>
      </c>
    </row>
    <row r="20" spans="1:12" x14ac:dyDescent="0.25">
      <c r="A20" t="s">
        <v>40</v>
      </c>
      <c r="B20" t="s">
        <v>41</v>
      </c>
      <c r="C20">
        <v>1.6173203000000001E-3</v>
      </c>
      <c r="D20">
        <v>0</v>
      </c>
      <c r="E20">
        <v>8.6852125999999999E-5</v>
      </c>
      <c r="F20">
        <v>2.0740962E-4</v>
      </c>
      <c r="G20" s="36">
        <v>1.0703729999999999E-3</v>
      </c>
      <c r="H20">
        <v>8.8834354000000005E-5</v>
      </c>
      <c r="I20" s="42">
        <v>1.6385122999999999E-4</v>
      </c>
      <c r="J20">
        <f t="shared" si="0"/>
        <v>1.5284859759999998E-3</v>
      </c>
    </row>
    <row r="21" spans="1:12" x14ac:dyDescent="0.25">
      <c r="A21" t="s">
        <v>42</v>
      </c>
      <c r="B21" t="s">
        <v>43</v>
      </c>
      <c r="C21">
        <v>7.1476988000000003E-4</v>
      </c>
      <c r="D21">
        <v>0</v>
      </c>
      <c r="E21">
        <v>6.0798477999999997E-5</v>
      </c>
      <c r="F21">
        <v>5.7399881E-5</v>
      </c>
      <c r="G21" s="36">
        <v>4.5115550999999998E-4</v>
      </c>
      <c r="H21">
        <v>5.9271419999999998E-5</v>
      </c>
      <c r="I21" s="42">
        <v>8.6144591000000004E-5</v>
      </c>
      <c r="J21">
        <f t="shared" si="0"/>
        <v>6.5549846000000002E-4</v>
      </c>
    </row>
    <row r="22" spans="1:12" x14ac:dyDescent="0.25">
      <c r="A22" t="s">
        <v>44</v>
      </c>
      <c r="B22" t="s">
        <v>41</v>
      </c>
      <c r="C22">
        <v>1.7157994E-3</v>
      </c>
      <c r="D22">
        <v>0</v>
      </c>
      <c r="E22">
        <v>8.9095299999999994E-5</v>
      </c>
      <c r="F22">
        <v>2.3602441999999999E-4</v>
      </c>
      <c r="G22" s="36">
        <v>1.1286693E-3</v>
      </c>
      <c r="H22">
        <v>9.2582774E-5</v>
      </c>
      <c r="I22" s="42">
        <v>1.6942760999999999E-4</v>
      </c>
      <c r="J22">
        <f t="shared" si="0"/>
        <v>1.6232166299999999E-3</v>
      </c>
    </row>
    <row r="23" spans="1:12" x14ac:dyDescent="0.25">
      <c r="A23" t="s">
        <v>45</v>
      </c>
      <c r="B23" t="s">
        <v>46</v>
      </c>
      <c r="C23">
        <v>2.1370205000000001E-3</v>
      </c>
      <c r="D23">
        <v>0</v>
      </c>
      <c r="E23">
        <v>1.4072779000000001E-4</v>
      </c>
      <c r="F23">
        <v>1.4365067999999999E-4</v>
      </c>
      <c r="G23" s="36">
        <v>1.2537697000000001E-3</v>
      </c>
      <c r="H23">
        <v>9.1328081000000005E-5</v>
      </c>
      <c r="I23" s="42">
        <v>5.0754429E-4</v>
      </c>
      <c r="J23">
        <f t="shared" si="0"/>
        <v>2.0456924600000003E-3</v>
      </c>
    </row>
    <row r="24" spans="1:12" x14ac:dyDescent="0.25">
      <c r="A24" s="9" t="s">
        <v>47</v>
      </c>
      <c r="B24" s="9" t="s">
        <v>48</v>
      </c>
      <c r="C24" s="9">
        <v>4.7038479E-4</v>
      </c>
      <c r="D24" s="36">
        <v>3.2000000000000003E-4</v>
      </c>
      <c r="E24" s="9">
        <v>1.8059822E-5</v>
      </c>
      <c r="F24" s="9">
        <v>1.0717983E-5</v>
      </c>
      <c r="G24" s="9">
        <v>8.4901439E-5</v>
      </c>
      <c r="H24" s="9">
        <v>2.7142165999999999E-5</v>
      </c>
      <c r="I24" s="48">
        <v>9.5633780000000004E-6</v>
      </c>
      <c r="J24" s="9">
        <f t="shared" si="0"/>
        <v>4.43242622E-4</v>
      </c>
      <c r="K24" s="51">
        <f>J24/'Final normalization scores No I'!$D$23</f>
        <v>6.8202886524552648E-4</v>
      </c>
      <c r="L24" t="s">
        <v>137</v>
      </c>
    </row>
    <row r="25" spans="1:12" x14ac:dyDescent="0.25">
      <c r="A25" s="9" t="s">
        <v>49</v>
      </c>
      <c r="B25" s="9" t="s">
        <v>50</v>
      </c>
      <c r="C25" s="9">
        <v>1.1934580999999999E-3</v>
      </c>
      <c r="D25" s="36">
        <v>9.3851999999999998E-4</v>
      </c>
      <c r="E25" s="9">
        <v>8.9137799999999998E-7</v>
      </c>
      <c r="F25" s="9">
        <v>3.2999789999999998E-6</v>
      </c>
      <c r="G25" s="9">
        <v>1.4448685E-5</v>
      </c>
      <c r="H25" s="9">
        <v>3.1715379999999998E-6</v>
      </c>
      <c r="I25" s="48">
        <v>2.3312650000000001E-4</v>
      </c>
      <c r="J25" s="9">
        <f t="shared" si="0"/>
        <v>1.190286542E-3</v>
      </c>
      <c r="K25" s="51">
        <f>J25/'Final normalization scores No I'!$D$29</f>
        <v>2.5776132834738158E-4</v>
      </c>
      <c r="L25" t="s">
        <v>138</v>
      </c>
    </row>
    <row r="26" spans="1:12" x14ac:dyDescent="0.25">
      <c r="A26" s="9" t="s">
        <v>51</v>
      </c>
      <c r="B26" s="9" t="s">
        <v>52</v>
      </c>
      <c r="C26" s="9">
        <v>1.4390453000000001</v>
      </c>
      <c r="D26" s="9">
        <v>0</v>
      </c>
      <c r="E26" s="9">
        <v>7.8929431999999994E-2</v>
      </c>
      <c r="F26" s="9">
        <v>0.1142321</v>
      </c>
      <c r="G26" s="36">
        <v>0.70545153000000005</v>
      </c>
      <c r="H26" s="9">
        <v>0.18080687000000001</v>
      </c>
      <c r="I26" s="50">
        <v>0.35962538999999999</v>
      </c>
      <c r="J26" s="9">
        <f t="shared" si="0"/>
        <v>1.2582384520000001</v>
      </c>
      <c r="K26" s="51">
        <f>J26/'Final normalization scores No I'!$D$17</f>
        <v>8.2777153720315594E-5</v>
      </c>
      <c r="L26" t="s">
        <v>139</v>
      </c>
    </row>
    <row r="27" spans="1:12" x14ac:dyDescent="0.25">
      <c r="A27" s="9" t="s">
        <v>53</v>
      </c>
      <c r="B27" s="9" t="s">
        <v>52</v>
      </c>
      <c r="C27" s="9">
        <v>3.0882962E-2</v>
      </c>
      <c r="D27" s="9">
        <v>0</v>
      </c>
      <c r="E27" s="9">
        <v>3.1681787E-3</v>
      </c>
      <c r="F27" s="9">
        <v>1.8864703E-3</v>
      </c>
      <c r="G27" s="36">
        <v>2.0457461999999999E-2</v>
      </c>
      <c r="H27" s="9">
        <v>4.1049913000000002E-3</v>
      </c>
      <c r="I27" s="48">
        <v>1.2658596E-3</v>
      </c>
      <c r="J27" s="9">
        <f t="shared" si="0"/>
        <v>2.6777970599999996E-2</v>
      </c>
      <c r="K27" s="51">
        <f>J27/'Final normalization scores No I'!$D$24</f>
        <v>1.0636856402092317E-3</v>
      </c>
      <c r="L27" t="s">
        <v>140</v>
      </c>
    </row>
    <row r="28" spans="1:12" x14ac:dyDescent="0.25">
      <c r="A28" s="9" t="s">
        <v>54</v>
      </c>
      <c r="B28" s="9" t="s">
        <v>52</v>
      </c>
      <c r="C28" s="9">
        <v>4.0405523999999998E-2</v>
      </c>
      <c r="D28" s="9">
        <v>0</v>
      </c>
      <c r="E28" s="9">
        <v>4.3537193000000004E-3</v>
      </c>
      <c r="F28" s="9">
        <v>2.6558761999999998E-3</v>
      </c>
      <c r="G28" s="36">
        <v>2.612985E-2</v>
      </c>
      <c r="H28" s="9">
        <v>5.4928592999999998E-3</v>
      </c>
      <c r="I28" s="48">
        <v>1.7732196999999999E-3</v>
      </c>
      <c r="J28" s="9">
        <f t="shared" si="0"/>
        <v>3.4912665200000005E-2</v>
      </c>
      <c r="K28" s="51">
        <f>J28/'Final normalization scores No I'!$D$28</f>
        <v>8.0364597646734445E-4</v>
      </c>
      <c r="L28" t="s">
        <v>141</v>
      </c>
    </row>
    <row r="29" spans="1:12" x14ac:dyDescent="0.25">
      <c r="A29" t="s">
        <v>55</v>
      </c>
      <c r="B29" t="s">
        <v>52</v>
      </c>
      <c r="C29">
        <v>0.19059242000000001</v>
      </c>
      <c r="D29">
        <v>0</v>
      </c>
      <c r="E29">
        <v>5.4252302000000002E-2</v>
      </c>
      <c r="F29">
        <v>1.5589148000000001E-2</v>
      </c>
      <c r="G29">
        <v>7.5001785000000001E-2</v>
      </c>
      <c r="H29">
        <v>4.0845108999999998E-2</v>
      </c>
      <c r="I29" s="42">
        <v>4.9040745000000002E-3</v>
      </c>
      <c r="J29">
        <f t="shared" si="0"/>
        <v>0.14974730950000001</v>
      </c>
    </row>
    <row r="30" spans="1:12" x14ac:dyDescent="0.25">
      <c r="A30" t="s">
        <v>56</v>
      </c>
      <c r="B30" t="s">
        <v>52</v>
      </c>
      <c r="C30">
        <v>3.0012439999999998</v>
      </c>
      <c r="D30">
        <v>0</v>
      </c>
      <c r="E30">
        <v>7.0501685999999994E-2</v>
      </c>
      <c r="F30">
        <v>4.0477678000000003E-2</v>
      </c>
      <c r="G30">
        <v>0.36510427000000001</v>
      </c>
      <c r="H30">
        <v>0.11486248</v>
      </c>
      <c r="I30" s="50">
        <v>2.4102979000000002</v>
      </c>
      <c r="J30">
        <f t="shared" si="0"/>
        <v>2.8863815340000003</v>
      </c>
      <c r="K30" s="51">
        <f>J30/'Final normalization scores No I'!$D$10</f>
        <v>9.2358764331275977E-5</v>
      </c>
    </row>
    <row r="31" spans="1:12" x14ac:dyDescent="0.25">
      <c r="A31" t="s">
        <v>57</v>
      </c>
      <c r="B31" t="s">
        <v>58</v>
      </c>
      <c r="C31">
        <v>2.3974586999999999E-2</v>
      </c>
      <c r="D31">
        <v>0</v>
      </c>
      <c r="E31">
        <v>7.2541488000000002E-4</v>
      </c>
      <c r="F31">
        <v>1.4955503000000001E-3</v>
      </c>
      <c r="G31">
        <v>1.9199668999999999E-2</v>
      </c>
      <c r="H31">
        <v>1.2385741999999999E-3</v>
      </c>
      <c r="I31" s="42">
        <v>1.3153786000000001E-3</v>
      </c>
      <c r="J31">
        <f t="shared" si="0"/>
        <v>2.2736012779999999E-2</v>
      </c>
    </row>
    <row r="32" spans="1:12" x14ac:dyDescent="0.25">
      <c r="A32" t="s">
        <v>59</v>
      </c>
      <c r="B32" t="s">
        <v>60</v>
      </c>
      <c r="C32">
        <v>3.4921377E-3</v>
      </c>
      <c r="D32">
        <v>0</v>
      </c>
      <c r="E32">
        <v>1.1149343E-3</v>
      </c>
      <c r="F32">
        <v>2.4077530999999999E-4</v>
      </c>
      <c r="G32">
        <v>1.5188263999999999E-3</v>
      </c>
      <c r="H32">
        <v>5.4579482999999999E-4</v>
      </c>
      <c r="I32" s="42">
        <v>7.1806849000000006E-5</v>
      </c>
      <c r="J32">
        <f t="shared" si="0"/>
        <v>2.9463428589999998E-3</v>
      </c>
    </row>
    <row r="33" spans="1:12" x14ac:dyDescent="0.25">
      <c r="A33" t="s">
        <v>61</v>
      </c>
      <c r="B33" t="s">
        <v>62</v>
      </c>
      <c r="C33">
        <v>0.28314192999999999</v>
      </c>
      <c r="D33">
        <v>0</v>
      </c>
      <c r="E33">
        <v>7.5832060000000003E-3</v>
      </c>
      <c r="F33">
        <v>0.11544674000000001</v>
      </c>
      <c r="G33">
        <v>0.14355794999999999</v>
      </c>
      <c r="H33">
        <v>8.9324224000000008E-3</v>
      </c>
      <c r="I33" s="42">
        <v>7.6216134000000003E-3</v>
      </c>
      <c r="J33">
        <f t="shared" si="0"/>
        <v>0.2742095094</v>
      </c>
    </row>
    <row r="34" spans="1:12" x14ac:dyDescent="0.25">
      <c r="A34" s="9" t="s">
        <v>63</v>
      </c>
      <c r="B34" s="9" t="s">
        <v>64</v>
      </c>
      <c r="C34" s="9">
        <v>-0.25284788000000002</v>
      </c>
      <c r="D34" s="9">
        <v>0</v>
      </c>
      <c r="E34" s="9">
        <v>2.0589410000000001E-4</v>
      </c>
      <c r="F34" s="9">
        <v>3.5695661000000002E-4</v>
      </c>
      <c r="G34" s="9">
        <v>6.7475701999999997E-3</v>
      </c>
      <c r="H34" s="9">
        <v>-0.25965403999999997</v>
      </c>
      <c r="I34" s="48">
        <v>-5.0425733000000002E-4</v>
      </c>
      <c r="J34" s="9">
        <f t="shared" si="0"/>
        <v>6.8061635799999999E-3</v>
      </c>
      <c r="K34" s="51">
        <f>J34/'Final normalization scores No I'!$D$25</f>
        <v>2.5525736726453389E-5</v>
      </c>
      <c r="L34" t="s">
        <v>142</v>
      </c>
    </row>
    <row r="38" spans="1:12" x14ac:dyDescent="0.25">
      <c r="B38" s="53" t="s">
        <v>143</v>
      </c>
      <c r="C38" s="53"/>
    </row>
    <row r="39" spans="1:12" x14ac:dyDescent="0.25">
      <c r="B39" s="51">
        <f>K17</f>
        <v>1.5616360356018316E-4</v>
      </c>
      <c r="C39" t="s">
        <v>136</v>
      </c>
    </row>
    <row r="40" spans="1:12" x14ac:dyDescent="0.25">
      <c r="B40" s="51">
        <f>K24</f>
        <v>6.8202886524552648E-4</v>
      </c>
      <c r="C40" t="s">
        <v>137</v>
      </c>
    </row>
    <row r="41" spans="1:12" x14ac:dyDescent="0.25">
      <c r="B41" s="51">
        <f t="shared" ref="B41:B44" si="1">K25</f>
        <v>2.5776132834738158E-4</v>
      </c>
      <c r="C41" t="s">
        <v>138</v>
      </c>
    </row>
    <row r="42" spans="1:12" x14ac:dyDescent="0.25">
      <c r="B42" s="51">
        <f t="shared" si="1"/>
        <v>8.2777153720315594E-5</v>
      </c>
      <c r="C42" t="s">
        <v>139</v>
      </c>
    </row>
    <row r="43" spans="1:12" x14ac:dyDescent="0.25">
      <c r="B43" s="51">
        <f t="shared" si="1"/>
        <v>1.0636856402092317E-3</v>
      </c>
      <c r="C43" t="s">
        <v>140</v>
      </c>
    </row>
    <row r="44" spans="1:12" x14ac:dyDescent="0.25">
      <c r="B44" s="51">
        <f t="shared" si="1"/>
        <v>8.0364597646734445E-4</v>
      </c>
      <c r="C44" t="s">
        <v>141</v>
      </c>
    </row>
    <row r="45" spans="1:12" x14ac:dyDescent="0.25">
      <c r="B45" s="51">
        <f>K34</f>
        <v>2.5525736726453389E-5</v>
      </c>
      <c r="C45" t="s">
        <v>142</v>
      </c>
    </row>
  </sheetData>
  <mergeCells count="1">
    <mergeCell ref="B38:C38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0B05-4A9C-D544-8995-D16CB581C9CA}">
  <dimension ref="A1:L45"/>
  <sheetViews>
    <sheetView zoomScaleNormal="100" workbookViewId="0">
      <selection activeCell="G42" sqref="G42"/>
    </sheetView>
  </sheetViews>
  <sheetFormatPr baseColWidth="10" defaultRowHeight="15" x14ac:dyDescent="0.25"/>
  <cols>
    <col min="1" max="1" width="31.28515625" customWidth="1"/>
    <col min="4" max="4" width="14.42578125" bestFit="1" customWidth="1"/>
    <col min="5" max="5" width="23.7109375" customWidth="1"/>
    <col min="6" max="6" width="12.28515625" customWidth="1"/>
    <col min="7" max="7" width="24.42578125" customWidth="1"/>
    <col min="8" max="8" width="24.140625" customWidth="1"/>
    <col min="9" max="9" width="20.28515625" customWidth="1"/>
    <col min="10" max="10" width="17.42578125" bestFit="1" customWidth="1"/>
    <col min="11" max="11" width="12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1">
        <v>46227</v>
      </c>
      <c r="E1" t="s">
        <v>3</v>
      </c>
      <c r="F1" s="2">
        <v>0.45729020833299999</v>
      </c>
    </row>
    <row r="2" spans="1:11" x14ac:dyDescent="0.25">
      <c r="A2" t="s">
        <v>4</v>
      </c>
      <c r="B2" t="s">
        <v>5</v>
      </c>
    </row>
    <row r="5" spans="1:11" x14ac:dyDescent="0.25">
      <c r="A5" t="s">
        <v>6</v>
      </c>
      <c r="B5" t="s">
        <v>7</v>
      </c>
    </row>
    <row r="6" spans="1:11" x14ac:dyDescent="0.25">
      <c r="A6" t="s">
        <v>8</v>
      </c>
      <c r="B6" t="s">
        <v>9</v>
      </c>
    </row>
    <row r="7" spans="1:11" x14ac:dyDescent="0.25">
      <c r="A7" t="s">
        <v>10</v>
      </c>
      <c r="B7" t="s">
        <v>76</v>
      </c>
    </row>
    <row r="8" spans="1:11" x14ac:dyDescent="0.25">
      <c r="A8" t="s">
        <v>12</v>
      </c>
      <c r="B8" t="s">
        <v>13</v>
      </c>
    </row>
    <row r="9" spans="1:11" x14ac:dyDescent="0.25">
      <c r="A9" t="s">
        <v>14</v>
      </c>
      <c r="B9" t="s">
        <v>15</v>
      </c>
    </row>
    <row r="10" spans="1:11" x14ac:dyDescent="0.25">
      <c r="A10" t="s">
        <v>16</v>
      </c>
      <c r="B10" t="s">
        <v>17</v>
      </c>
    </row>
    <row r="11" spans="1:11" x14ac:dyDescent="0.25">
      <c r="A11" t="s">
        <v>18</v>
      </c>
      <c r="B11" t="s">
        <v>19</v>
      </c>
    </row>
    <row r="12" spans="1:11" x14ac:dyDescent="0.25">
      <c r="A12" t="s">
        <v>20</v>
      </c>
      <c r="B12" t="s">
        <v>19</v>
      </c>
    </row>
    <row r="13" spans="1:11" x14ac:dyDescent="0.25">
      <c r="A13" t="s">
        <v>21</v>
      </c>
      <c r="B13" t="s">
        <v>22</v>
      </c>
    </row>
    <row r="14" spans="1:11" x14ac:dyDescent="0.25">
      <c r="A14" t="s">
        <v>23</v>
      </c>
      <c r="B14" t="s">
        <v>24</v>
      </c>
    </row>
    <row r="16" spans="1:11" x14ac:dyDescent="0.25">
      <c r="A16" t="s">
        <v>22</v>
      </c>
      <c r="B16" t="s">
        <v>25</v>
      </c>
      <c r="C16" t="s">
        <v>26</v>
      </c>
      <c r="D16" t="s">
        <v>75</v>
      </c>
      <c r="E16" t="s">
        <v>72</v>
      </c>
      <c r="F16" t="s">
        <v>71</v>
      </c>
      <c r="G16" t="s">
        <v>70</v>
      </c>
      <c r="H16" t="s">
        <v>29</v>
      </c>
      <c r="I16" s="42" t="s">
        <v>69</v>
      </c>
      <c r="J16" t="s">
        <v>135</v>
      </c>
      <c r="K16" t="s">
        <v>66</v>
      </c>
    </row>
    <row r="17" spans="1:12" x14ac:dyDescent="0.25">
      <c r="A17" s="9" t="s">
        <v>34</v>
      </c>
      <c r="B17" s="9" t="s">
        <v>35</v>
      </c>
      <c r="C17" s="9">
        <v>42.53725</v>
      </c>
      <c r="D17" s="36">
        <v>17.437999999999999</v>
      </c>
      <c r="E17" s="9">
        <v>0.97341027000000002</v>
      </c>
      <c r="F17" s="9">
        <v>3.9185215000000002</v>
      </c>
      <c r="G17" s="36">
        <v>15.832397</v>
      </c>
      <c r="H17" s="9">
        <v>1.2093012000000001</v>
      </c>
      <c r="I17" s="48">
        <v>3.1656202000000002</v>
      </c>
      <c r="J17" s="9">
        <f>SUM(D17:G17,I17)</f>
        <v>41.327948970000001</v>
      </c>
      <c r="K17" s="51">
        <f>J17/'Final normalization scores No I'!$D$4</f>
        <v>5.1721953077984327E-3</v>
      </c>
      <c r="L17" t="s">
        <v>136</v>
      </c>
    </row>
    <row r="18" spans="1:12" x14ac:dyDescent="0.25">
      <c r="A18" t="s">
        <v>36</v>
      </c>
      <c r="B18" t="s">
        <v>37</v>
      </c>
      <c r="C18">
        <v>1.7812621E-4</v>
      </c>
      <c r="D18" s="36">
        <v>1.3200000000000001E-4</v>
      </c>
      <c r="E18">
        <v>3.9700599999999998E-7</v>
      </c>
      <c r="F18">
        <v>8.2452499999999995E-7</v>
      </c>
      <c r="G18">
        <v>9.3397800000000002E-6</v>
      </c>
      <c r="H18">
        <v>2.6227300000000001E-7</v>
      </c>
      <c r="I18" s="42">
        <v>3.5302626000000001E-5</v>
      </c>
      <c r="J18">
        <f t="shared" ref="J18:J34" si="0">SUM(D18:G18,I18)</f>
        <v>1.77863937E-4</v>
      </c>
    </row>
    <row r="19" spans="1:12" x14ac:dyDescent="0.25">
      <c r="A19" t="s">
        <v>38</v>
      </c>
      <c r="B19" t="s">
        <v>39</v>
      </c>
      <c r="C19">
        <v>16.331961</v>
      </c>
      <c r="D19">
        <v>0</v>
      </c>
      <c r="E19">
        <v>4.9343164000000002E-2</v>
      </c>
      <c r="F19">
        <v>0.11430423000000001</v>
      </c>
      <c r="G19" s="36">
        <v>16.106943999999999</v>
      </c>
      <c r="H19">
        <v>4.9037003000000003E-2</v>
      </c>
      <c r="I19" s="42">
        <v>1.2332081999999999E-2</v>
      </c>
      <c r="J19">
        <f t="shared" si="0"/>
        <v>16.282923476000001</v>
      </c>
    </row>
    <row r="20" spans="1:12" x14ac:dyDescent="0.25">
      <c r="A20" t="s">
        <v>40</v>
      </c>
      <c r="B20" t="s">
        <v>41</v>
      </c>
      <c r="C20">
        <v>5.3648870000000001E-2</v>
      </c>
      <c r="D20">
        <v>0</v>
      </c>
      <c r="E20">
        <v>2.8661200999999998E-3</v>
      </c>
      <c r="F20">
        <v>6.8807317E-3</v>
      </c>
      <c r="G20" s="36">
        <v>3.5508459999999999E-2</v>
      </c>
      <c r="H20">
        <v>2.9486171999999998E-3</v>
      </c>
      <c r="I20" s="42">
        <v>5.4449412000000001E-3</v>
      </c>
      <c r="J20">
        <f t="shared" si="0"/>
        <v>5.0700252999999994E-2</v>
      </c>
    </row>
    <row r="21" spans="1:12" x14ac:dyDescent="0.25">
      <c r="A21" t="s">
        <v>42</v>
      </c>
      <c r="B21" t="s">
        <v>43</v>
      </c>
      <c r="C21">
        <v>2.3707188000000001E-2</v>
      </c>
      <c r="D21">
        <v>0</v>
      </c>
      <c r="E21">
        <v>2.0063498E-3</v>
      </c>
      <c r="F21">
        <v>1.9042182999999999E-3</v>
      </c>
      <c r="G21" s="36">
        <v>1.4966594E-2</v>
      </c>
      <c r="H21">
        <v>1.9673552000000001E-3</v>
      </c>
      <c r="I21" s="42">
        <v>2.8626713999999999E-3</v>
      </c>
      <c r="J21">
        <f t="shared" si="0"/>
        <v>2.17398335E-2</v>
      </c>
    </row>
    <row r="22" spans="1:12" x14ac:dyDescent="0.25">
      <c r="A22" t="s">
        <v>44</v>
      </c>
      <c r="B22" t="s">
        <v>41</v>
      </c>
      <c r="C22">
        <v>5.6915825000000003E-2</v>
      </c>
      <c r="D22">
        <v>0</v>
      </c>
      <c r="E22">
        <v>2.9401448999999999E-3</v>
      </c>
      <c r="F22">
        <v>7.8300162999999992E-3</v>
      </c>
      <c r="G22" s="36">
        <v>3.7442378999999998E-2</v>
      </c>
      <c r="H22">
        <v>3.0730358999999999E-3</v>
      </c>
      <c r="I22" s="42">
        <v>5.6302497000000002E-3</v>
      </c>
      <c r="J22">
        <f t="shared" si="0"/>
        <v>5.38427899E-2</v>
      </c>
    </row>
    <row r="23" spans="1:12" x14ac:dyDescent="0.25">
      <c r="A23" t="s">
        <v>45</v>
      </c>
      <c r="B23" t="s">
        <v>46</v>
      </c>
      <c r="C23">
        <v>7.0899614999999999E-2</v>
      </c>
      <c r="D23">
        <v>0</v>
      </c>
      <c r="E23">
        <v>4.6440170000000003E-3</v>
      </c>
      <c r="F23">
        <v>4.7655544000000001E-3</v>
      </c>
      <c r="G23" s="36">
        <v>4.1592446999999998E-2</v>
      </c>
      <c r="H23">
        <v>3.0313898000000001E-3</v>
      </c>
      <c r="I23" s="42">
        <v>1.6866207000000001E-2</v>
      </c>
      <c r="J23">
        <f t="shared" si="0"/>
        <v>6.786822540000001E-2</v>
      </c>
    </row>
    <row r="24" spans="1:12" x14ac:dyDescent="0.25">
      <c r="A24" s="9" t="s">
        <v>47</v>
      </c>
      <c r="B24" s="9" t="s">
        <v>48</v>
      </c>
      <c r="C24" s="9">
        <v>1.5726764000000001E-2</v>
      </c>
      <c r="D24" s="36">
        <v>1.074E-2</v>
      </c>
      <c r="E24" s="9">
        <v>5.9597413000000001E-4</v>
      </c>
      <c r="F24" s="9">
        <v>3.5556484E-4</v>
      </c>
      <c r="G24" s="9">
        <v>2.8165130000000001E-3</v>
      </c>
      <c r="H24" s="9">
        <v>9.0091111999999996E-4</v>
      </c>
      <c r="I24" s="48">
        <v>3.1780065999999999E-4</v>
      </c>
      <c r="J24" s="9">
        <f t="shared" si="0"/>
        <v>1.4825852629999997E-2</v>
      </c>
      <c r="K24" s="51">
        <f>J24/'Final normalization scores No I'!$D$23</f>
        <v>2.2812922186748328E-2</v>
      </c>
      <c r="L24" t="s">
        <v>137</v>
      </c>
    </row>
    <row r="25" spans="1:12" x14ac:dyDescent="0.25">
      <c r="A25" s="9" t="s">
        <v>49</v>
      </c>
      <c r="B25" s="9" t="s">
        <v>50</v>
      </c>
      <c r="C25" s="9">
        <v>3.9596108999999997E-2</v>
      </c>
      <c r="D25" s="36">
        <v>3.11256E-2</v>
      </c>
      <c r="E25" s="9">
        <v>2.9415470000000001E-5</v>
      </c>
      <c r="F25" s="9">
        <v>1.0947548E-4</v>
      </c>
      <c r="G25" s="9">
        <v>4.7931941000000001E-4</v>
      </c>
      <c r="H25" s="9">
        <v>1.0527067000000001E-4</v>
      </c>
      <c r="I25" s="48">
        <v>7.7470280000000004E-3</v>
      </c>
      <c r="J25" s="9">
        <f t="shared" si="0"/>
        <v>3.9490838360000002E-2</v>
      </c>
      <c r="K25" s="51">
        <f>J25/'Final normalization scores No I'!$D$29</f>
        <v>8.5518995586739404E-3</v>
      </c>
      <c r="L25" t="s">
        <v>138</v>
      </c>
    </row>
    <row r="26" spans="1:12" x14ac:dyDescent="0.25">
      <c r="A26" s="9" t="s">
        <v>51</v>
      </c>
      <c r="B26" s="9" t="s">
        <v>52</v>
      </c>
      <c r="C26" s="9">
        <v>47.748973999999997</v>
      </c>
      <c r="D26" s="9">
        <v>0</v>
      </c>
      <c r="E26" s="9">
        <v>2.6046711999999999</v>
      </c>
      <c r="F26" s="9">
        <v>3.7896044</v>
      </c>
      <c r="G26" s="36">
        <v>23.402588000000002</v>
      </c>
      <c r="H26" s="9">
        <v>6.0013972000000004</v>
      </c>
      <c r="I26" s="48">
        <v>11.950713</v>
      </c>
      <c r="J26" s="9">
        <f t="shared" si="0"/>
        <v>41.747576600000002</v>
      </c>
      <c r="K26" s="51">
        <f>J26/'Final normalization scores No I'!$D$17</f>
        <v>2.7464949590245476E-3</v>
      </c>
      <c r="L26" t="s">
        <v>139</v>
      </c>
    </row>
    <row r="27" spans="1:12" x14ac:dyDescent="0.25">
      <c r="A27" s="9" t="s">
        <v>53</v>
      </c>
      <c r="B27" s="9" t="s">
        <v>52</v>
      </c>
      <c r="C27" s="9">
        <v>1.0241068</v>
      </c>
      <c r="D27" s="9">
        <v>0</v>
      </c>
      <c r="E27" s="9">
        <v>0.1045499</v>
      </c>
      <c r="F27" s="9">
        <v>6.2582904999999994E-2</v>
      </c>
      <c r="G27" s="36">
        <v>0.67865408000000005</v>
      </c>
      <c r="H27" s="9">
        <v>0.13625413</v>
      </c>
      <c r="I27" s="48">
        <v>4.2065788E-2</v>
      </c>
      <c r="J27" s="9">
        <f t="shared" si="0"/>
        <v>0.88785267300000015</v>
      </c>
      <c r="K27" s="51">
        <f>J27/'Final normalization scores No I'!$D$24</f>
        <v>3.5267651645397018E-2</v>
      </c>
      <c r="L27" t="s">
        <v>140</v>
      </c>
    </row>
    <row r="28" spans="1:12" x14ac:dyDescent="0.25">
      <c r="A28" s="9" t="s">
        <v>54</v>
      </c>
      <c r="B28" s="9" t="s">
        <v>52</v>
      </c>
      <c r="C28" s="9">
        <v>1.3398562999999999</v>
      </c>
      <c r="D28" s="9">
        <v>0</v>
      </c>
      <c r="E28" s="9">
        <v>0.14367273999999999</v>
      </c>
      <c r="F28" s="9">
        <v>8.8107638000000002E-2</v>
      </c>
      <c r="G28" s="9">
        <v>0.86682935999999999</v>
      </c>
      <c r="H28" s="9">
        <v>0.18232066999999999</v>
      </c>
      <c r="I28" s="48">
        <v>5.8925872999999997E-2</v>
      </c>
      <c r="J28" s="9">
        <f t="shared" si="0"/>
        <v>1.1575356109999999</v>
      </c>
      <c r="K28" s="51">
        <f>J28/'Final normalization scores No I'!$D$28</f>
        <v>2.6645024980728741E-2</v>
      </c>
      <c r="L28" t="s">
        <v>141</v>
      </c>
    </row>
    <row r="29" spans="1:12" x14ac:dyDescent="0.25">
      <c r="A29" t="s">
        <v>55</v>
      </c>
      <c r="B29" t="s">
        <v>52</v>
      </c>
      <c r="C29">
        <v>6.3143032000000003</v>
      </c>
      <c r="D29">
        <v>0</v>
      </c>
      <c r="E29">
        <v>1.7903260000000001</v>
      </c>
      <c r="F29">
        <v>0.51716381</v>
      </c>
      <c r="G29">
        <v>2.4881026999999998</v>
      </c>
      <c r="H29">
        <v>1.3557433999999999</v>
      </c>
      <c r="I29" s="42">
        <v>0.16296732999999999</v>
      </c>
      <c r="J29">
        <f t="shared" si="0"/>
        <v>4.9585598399999995</v>
      </c>
    </row>
    <row r="30" spans="1:12" x14ac:dyDescent="0.25">
      <c r="A30" t="s">
        <v>56</v>
      </c>
      <c r="B30" t="s">
        <v>52</v>
      </c>
      <c r="C30">
        <v>99.690498000000005</v>
      </c>
      <c r="D30">
        <v>0</v>
      </c>
      <c r="E30">
        <v>2.3265555999999998</v>
      </c>
      <c r="F30">
        <v>1.3428309</v>
      </c>
      <c r="G30">
        <v>12.111936999999999</v>
      </c>
      <c r="H30">
        <v>3.8125509000000002</v>
      </c>
      <c r="I30" s="42">
        <v>80.096622999999994</v>
      </c>
      <c r="J30">
        <f t="shared" si="0"/>
        <v>95.877946499999993</v>
      </c>
      <c r="K30" s="51">
        <f>J30/'Final normalization scores No I'!$D$10</f>
        <v>3.0679134276086263E-3</v>
      </c>
    </row>
    <row r="31" spans="1:12" x14ac:dyDescent="0.25">
      <c r="A31" t="s">
        <v>57</v>
      </c>
      <c r="B31" t="s">
        <v>58</v>
      </c>
      <c r="C31">
        <v>0.79530361999999999</v>
      </c>
      <c r="D31">
        <v>0</v>
      </c>
      <c r="E31">
        <v>2.3938691000000002E-2</v>
      </c>
      <c r="F31">
        <v>4.9614287E-2</v>
      </c>
      <c r="G31">
        <v>0.63692815000000003</v>
      </c>
      <c r="H31">
        <v>4.1111136999999999E-2</v>
      </c>
      <c r="I31" s="42">
        <v>4.3711352000000002E-2</v>
      </c>
      <c r="J31">
        <f t="shared" si="0"/>
        <v>0.75419248000000005</v>
      </c>
    </row>
    <row r="32" spans="1:12" x14ac:dyDescent="0.25">
      <c r="A32" t="s">
        <v>59</v>
      </c>
      <c r="B32" t="s">
        <v>60</v>
      </c>
      <c r="C32">
        <v>0.11566828</v>
      </c>
      <c r="D32">
        <v>0</v>
      </c>
      <c r="E32">
        <v>3.6792830999999998E-2</v>
      </c>
      <c r="F32">
        <v>7.9876253000000005E-3</v>
      </c>
      <c r="G32">
        <v>5.0385416000000002E-2</v>
      </c>
      <c r="H32">
        <v>1.8116190000000001E-2</v>
      </c>
      <c r="I32" s="42">
        <v>2.3862138000000001E-3</v>
      </c>
      <c r="J32">
        <f t="shared" si="0"/>
        <v>9.7552086100000004E-2</v>
      </c>
    </row>
    <row r="33" spans="1:12" x14ac:dyDescent="0.25">
      <c r="A33" t="s">
        <v>61</v>
      </c>
      <c r="B33" t="s">
        <v>62</v>
      </c>
      <c r="C33">
        <v>9.3922861999999991</v>
      </c>
      <c r="D33">
        <v>0</v>
      </c>
      <c r="E33">
        <v>0.25024580000000002</v>
      </c>
      <c r="F33">
        <v>3.8298999</v>
      </c>
      <c r="G33">
        <v>4.7623788999999999</v>
      </c>
      <c r="H33">
        <v>0.29648771000000002</v>
      </c>
      <c r="I33" s="42">
        <v>0.25327388000000001</v>
      </c>
      <c r="J33">
        <f t="shared" si="0"/>
        <v>9.0957984800000009</v>
      </c>
    </row>
    <row r="34" spans="1:12" x14ac:dyDescent="0.25">
      <c r="A34" s="9" t="s">
        <v>63</v>
      </c>
      <c r="B34" s="9" t="s">
        <v>64</v>
      </c>
      <c r="C34" s="9">
        <v>-8.3927940999999997</v>
      </c>
      <c r="D34" s="9">
        <v>0</v>
      </c>
      <c r="E34" s="9">
        <v>6.7945054000000003E-3</v>
      </c>
      <c r="F34" s="9">
        <v>1.1841894E-2</v>
      </c>
      <c r="G34" s="9">
        <v>0.22384330999999999</v>
      </c>
      <c r="H34" s="9">
        <v>-8.6185168000000001</v>
      </c>
      <c r="I34" s="48">
        <v>-1.6756977999999999E-2</v>
      </c>
      <c r="J34" s="9">
        <f t="shared" si="0"/>
        <v>0.22572273139999999</v>
      </c>
      <c r="K34" s="51">
        <f>J34/'Final normalization scores No I'!$D$25</f>
        <v>8.4654724312288024E-4</v>
      </c>
      <c r="L34" t="s">
        <v>142</v>
      </c>
    </row>
    <row r="38" spans="1:12" x14ac:dyDescent="0.25">
      <c r="B38" s="53" t="s">
        <v>143</v>
      </c>
      <c r="C38" s="53"/>
    </row>
    <row r="39" spans="1:12" x14ac:dyDescent="0.25">
      <c r="B39" s="51">
        <f>K17</f>
        <v>5.1721953077984327E-3</v>
      </c>
      <c r="C39" t="s">
        <v>136</v>
      </c>
    </row>
    <row r="40" spans="1:12" x14ac:dyDescent="0.25">
      <c r="B40" s="51">
        <f>K24</f>
        <v>2.2812922186748328E-2</v>
      </c>
      <c r="C40" t="s">
        <v>137</v>
      </c>
    </row>
    <row r="41" spans="1:12" x14ac:dyDescent="0.25">
      <c r="B41" s="51">
        <f t="shared" ref="B41:B44" si="1">K25</f>
        <v>8.5518995586739404E-3</v>
      </c>
      <c r="C41" t="s">
        <v>138</v>
      </c>
    </row>
    <row r="42" spans="1:12" x14ac:dyDescent="0.25">
      <c r="B42" s="51">
        <f t="shared" si="1"/>
        <v>2.7464949590245476E-3</v>
      </c>
      <c r="C42" t="s">
        <v>139</v>
      </c>
    </row>
    <row r="43" spans="1:12" x14ac:dyDescent="0.25">
      <c r="B43" s="51">
        <f t="shared" si="1"/>
        <v>3.5267651645397018E-2</v>
      </c>
      <c r="C43" t="s">
        <v>140</v>
      </c>
    </row>
    <row r="44" spans="1:12" x14ac:dyDescent="0.25">
      <c r="B44" s="51">
        <f t="shared" si="1"/>
        <v>2.6645024980728741E-2</v>
      </c>
      <c r="C44" t="s">
        <v>141</v>
      </c>
    </row>
    <row r="45" spans="1:12" x14ac:dyDescent="0.25">
      <c r="B45" s="51">
        <f>K34</f>
        <v>8.4654724312288024E-4</v>
      </c>
      <c r="C45" t="s">
        <v>142</v>
      </c>
    </row>
  </sheetData>
  <mergeCells count="1">
    <mergeCell ref="B38:C38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E0FE-E68A-D641-80C2-4357E94EFD7A}">
  <sheetPr>
    <tabColor rgb="FFC00000"/>
  </sheetPr>
  <dimension ref="A1:M62"/>
  <sheetViews>
    <sheetView zoomScale="90" zoomScaleNormal="90" workbookViewId="0">
      <selection activeCell="M28" sqref="M28"/>
    </sheetView>
  </sheetViews>
  <sheetFormatPr baseColWidth="10" defaultColWidth="9.140625" defaultRowHeight="15" x14ac:dyDescent="0.25"/>
  <cols>
    <col min="1" max="1" width="42" style="19" customWidth="1"/>
    <col min="2" max="2" width="39.28515625" style="19" customWidth="1"/>
    <col min="3" max="3" width="12.42578125" style="20" bestFit="1" customWidth="1"/>
    <col min="4" max="4" width="9.28515625" style="20" bestFit="1" customWidth="1"/>
    <col min="5" max="5" width="9.7109375" style="20" bestFit="1" customWidth="1"/>
    <col min="6" max="6" width="8.7109375" style="20" customWidth="1"/>
    <col min="7" max="7" width="29.28515625" style="19" bestFit="1" customWidth="1"/>
    <col min="8" max="8" width="12.42578125" style="19" bestFit="1" customWidth="1"/>
    <col min="9" max="9" width="9.28515625" style="19" bestFit="1" customWidth="1"/>
    <col min="10" max="10" width="9.7109375" style="19" bestFit="1" customWidth="1"/>
    <col min="11" max="16384" width="9.140625" style="19"/>
  </cols>
  <sheetData>
    <row r="1" spans="1:13" s="24" customFormat="1" x14ac:dyDescent="0.25">
      <c r="B1" s="24" t="s">
        <v>134</v>
      </c>
      <c r="G1" s="24" t="s">
        <v>133</v>
      </c>
    </row>
    <row r="2" spans="1:13" s="24" customFormat="1" x14ac:dyDescent="0.25">
      <c r="B2" s="24" t="s">
        <v>132</v>
      </c>
      <c r="C2" s="24" t="s">
        <v>131</v>
      </c>
      <c r="G2" s="24" t="s">
        <v>132</v>
      </c>
      <c r="H2" s="24" t="s">
        <v>131</v>
      </c>
    </row>
    <row r="3" spans="1:13" s="24" customFormat="1" x14ac:dyDescent="0.25">
      <c r="A3" s="24" t="s">
        <v>130</v>
      </c>
      <c r="C3" s="35" t="s">
        <v>129</v>
      </c>
      <c r="D3" s="35" t="s">
        <v>128</v>
      </c>
      <c r="E3" s="35" t="s">
        <v>127</v>
      </c>
      <c r="F3" s="35"/>
      <c r="H3" s="35" t="s">
        <v>129</v>
      </c>
      <c r="I3" s="35" t="s">
        <v>128</v>
      </c>
      <c r="J3" s="35" t="s">
        <v>127</v>
      </c>
      <c r="K3" s="35"/>
    </row>
    <row r="4" spans="1:13" x14ac:dyDescent="0.25">
      <c r="A4" s="19" t="s">
        <v>126</v>
      </c>
      <c r="B4" s="19" t="s">
        <v>100</v>
      </c>
      <c r="C4" s="22">
        <v>10757.058940165556</v>
      </c>
      <c r="D4" s="22">
        <v>7990.407652952963</v>
      </c>
      <c r="E4" s="22">
        <v>5797.6041066401167</v>
      </c>
      <c r="F4" s="22"/>
      <c r="G4" s="23" t="s">
        <v>114</v>
      </c>
      <c r="H4" s="21">
        <v>8.7347318594144273E-4</v>
      </c>
      <c r="I4" s="21">
        <v>7.415098301940347E-3</v>
      </c>
      <c r="J4" s="21">
        <v>7.2470051333001495E-2</v>
      </c>
    </row>
    <row r="5" spans="1:13" ht="30" x14ac:dyDescent="0.25">
      <c r="A5" s="34" t="s">
        <v>125</v>
      </c>
      <c r="B5" s="19" t="s">
        <v>124</v>
      </c>
      <c r="C5" s="33">
        <v>6.532939248744353E-2</v>
      </c>
      <c r="D5" s="33">
        <v>6.0010004962240043E-2</v>
      </c>
      <c r="E5" s="33">
        <v>7.0437280508410541E-2</v>
      </c>
      <c r="F5" s="33"/>
      <c r="G5" s="23" t="s">
        <v>114</v>
      </c>
      <c r="H5" s="21">
        <v>1.5483066019524117E-5</v>
      </c>
      <c r="I5" s="21">
        <v>3.1865312634949464E-5</v>
      </c>
      <c r="J5" s="21">
        <v>9.4385955881270118E-5</v>
      </c>
    </row>
    <row r="6" spans="1:13" x14ac:dyDescent="0.25">
      <c r="A6" s="19" t="s">
        <v>123</v>
      </c>
      <c r="B6" s="19" t="s">
        <v>122</v>
      </c>
      <c r="C6" s="22">
        <v>469.71620868871332</v>
      </c>
      <c r="D6" s="22">
        <v>479.91735010391716</v>
      </c>
      <c r="E6" s="22">
        <v>698.58082339945872</v>
      </c>
      <c r="F6" s="22"/>
      <c r="G6" s="23" t="s">
        <v>114</v>
      </c>
      <c r="H6" s="21">
        <v>3.1940702190832491E-6</v>
      </c>
      <c r="I6" s="21">
        <v>4.0792974758832956E-6</v>
      </c>
      <c r="J6" s="21">
        <v>9.7801315275924228E-6</v>
      </c>
    </row>
    <row r="7" spans="1:13" x14ac:dyDescent="0.25">
      <c r="A7" s="19" t="s">
        <v>121</v>
      </c>
      <c r="B7" s="19" t="s">
        <v>120</v>
      </c>
      <c r="C7" s="22">
        <v>16.02008811512119</v>
      </c>
      <c r="D7" s="22">
        <v>25.569594920658865</v>
      </c>
      <c r="E7" s="22">
        <v>25.569594920658865</v>
      </c>
      <c r="F7" s="22"/>
      <c r="G7" s="23" t="s">
        <v>114</v>
      </c>
      <c r="H7" s="21">
        <v>1.0009245361730838E-2</v>
      </c>
      <c r="I7" s="21">
        <v>1.6094840185912101E-2</v>
      </c>
      <c r="J7" s="21">
        <v>1.6094840185912101E-2</v>
      </c>
    </row>
    <row r="8" spans="1:13" x14ac:dyDescent="0.25">
      <c r="A8" s="19" t="s">
        <v>119</v>
      </c>
      <c r="B8" s="19" t="s">
        <v>110</v>
      </c>
      <c r="C8" s="22">
        <v>20.567456694737732</v>
      </c>
      <c r="D8" s="22">
        <v>20.567456694737732</v>
      </c>
      <c r="E8" s="22">
        <v>20.567456694737732</v>
      </c>
      <c r="F8" s="22"/>
      <c r="G8" s="23" t="s">
        <v>114</v>
      </c>
      <c r="H8" s="21">
        <v>1.8022733742761528E-5</v>
      </c>
      <c r="I8" s="21">
        <v>1.8022733742761528E-5</v>
      </c>
      <c r="J8" s="21">
        <v>1.8022733742761528E-5</v>
      </c>
    </row>
    <row r="9" spans="1:13" x14ac:dyDescent="0.25">
      <c r="A9" s="19" t="s">
        <v>118</v>
      </c>
      <c r="B9" s="19" t="s">
        <v>116</v>
      </c>
      <c r="C9" s="22">
        <v>0.99033506001745564</v>
      </c>
      <c r="D9" s="22">
        <v>10.298306455189207</v>
      </c>
      <c r="E9" s="22">
        <v>295.23401176942241</v>
      </c>
      <c r="F9" s="22"/>
      <c r="G9" s="23" t="s">
        <v>114</v>
      </c>
      <c r="H9" s="21">
        <v>3.2879123992579521E-6</v>
      </c>
      <c r="I9" s="21">
        <v>3.4190377431228154E-5</v>
      </c>
      <c r="J9" s="21">
        <v>9.8017691907448267E-4</v>
      </c>
    </row>
    <row r="10" spans="1:13" x14ac:dyDescent="0.25">
      <c r="A10" s="19" t="s">
        <v>117</v>
      </c>
      <c r="B10" s="19" t="s">
        <v>116</v>
      </c>
      <c r="C10" s="21">
        <v>50.949702101783849</v>
      </c>
      <c r="D10" s="21">
        <v>31251.842257731121</v>
      </c>
      <c r="E10" s="21">
        <v>2224349.1624706411</v>
      </c>
      <c r="F10" s="22"/>
      <c r="G10" s="23" t="s">
        <v>114</v>
      </c>
      <c r="H10" s="21">
        <v>3.388155189768623E-7</v>
      </c>
      <c r="I10" s="21">
        <v>2.0782475101391179E-4</v>
      </c>
      <c r="J10" s="21">
        <v>1.4791921930429761E-2</v>
      </c>
    </row>
    <row r="11" spans="1:13" x14ac:dyDescent="0.25">
      <c r="A11" s="19" t="s">
        <v>115</v>
      </c>
      <c r="B11" s="19" t="s">
        <v>94</v>
      </c>
      <c r="C11" s="22">
        <v>266.63926110882778</v>
      </c>
      <c r="D11" s="22">
        <v>266.63926110882778</v>
      </c>
      <c r="E11" s="22">
        <v>266.63926110882778</v>
      </c>
      <c r="F11" s="22"/>
      <c r="G11" s="23" t="s">
        <v>114</v>
      </c>
      <c r="H11" s="21">
        <v>1.9602786783350215E-4</v>
      </c>
      <c r="I11" s="21">
        <v>1.9602786783350215E-4</v>
      </c>
      <c r="J11" s="21">
        <v>2.9066798633384748E-4</v>
      </c>
    </row>
    <row r="12" spans="1:13" x14ac:dyDescent="0.25">
      <c r="G12" s="23"/>
      <c r="H12" s="21"/>
      <c r="I12" s="21"/>
      <c r="J12" s="21"/>
    </row>
    <row r="13" spans="1:13" x14ac:dyDescent="0.25">
      <c r="A13" s="24" t="s">
        <v>113</v>
      </c>
      <c r="G13" s="23"/>
      <c r="H13" s="21"/>
      <c r="I13" s="21"/>
      <c r="J13" s="21"/>
    </row>
    <row r="14" spans="1:13" x14ac:dyDescent="0.25">
      <c r="A14" s="19" t="s">
        <v>112</v>
      </c>
      <c r="B14" s="19" t="s">
        <v>100</v>
      </c>
      <c r="C14" s="22">
        <v>10757.058940165556</v>
      </c>
      <c r="D14" s="22">
        <v>7990.407652952963</v>
      </c>
      <c r="E14" s="22">
        <v>5797.6041066401167</v>
      </c>
      <c r="F14" s="22"/>
      <c r="G14" s="23" t="s">
        <v>90</v>
      </c>
      <c r="H14" s="21">
        <v>5.7227553561680741E-6</v>
      </c>
      <c r="I14" s="21">
        <v>2.2373141428268291E-5</v>
      </c>
      <c r="J14" s="21">
        <v>1.4494010266600301E-4</v>
      </c>
      <c r="K14" s="21"/>
      <c r="L14" s="21"/>
      <c r="M14" s="21"/>
    </row>
    <row r="15" spans="1:13" x14ac:dyDescent="0.25">
      <c r="A15" s="19" t="s">
        <v>111</v>
      </c>
      <c r="B15" s="19" t="s">
        <v>110</v>
      </c>
      <c r="C15" s="22">
        <v>17.749328221367179</v>
      </c>
      <c r="D15" s="22">
        <v>17.749328221367179</v>
      </c>
      <c r="E15" s="22">
        <v>17.749328221367179</v>
      </c>
      <c r="F15" s="22"/>
      <c r="G15" s="23" t="s">
        <v>90</v>
      </c>
      <c r="H15" s="21">
        <v>2.2387617860080368E-6</v>
      </c>
      <c r="I15" s="21">
        <v>2.2387617860080368E-6</v>
      </c>
      <c r="J15" s="21">
        <v>2.2387617860080368E-6</v>
      </c>
    </row>
    <row r="16" spans="1:13" x14ac:dyDescent="0.25">
      <c r="A16" s="31" t="s">
        <v>109</v>
      </c>
      <c r="B16" s="19" t="s">
        <v>108</v>
      </c>
      <c r="C16" s="21">
        <v>40.980514742338137</v>
      </c>
      <c r="D16" s="21">
        <v>40.980514742338137</v>
      </c>
      <c r="E16" s="21">
        <v>40.980514742338137</v>
      </c>
      <c r="F16" s="32"/>
      <c r="G16" s="23" t="s">
        <v>90</v>
      </c>
      <c r="H16" s="21">
        <v>8.4198919221923262E-6</v>
      </c>
      <c r="I16" s="21">
        <v>8.4198919221923262E-6</v>
      </c>
      <c r="J16" s="21">
        <v>8.4198919221923262E-6</v>
      </c>
    </row>
    <row r="17" spans="1:13" x14ac:dyDescent="0.25">
      <c r="A17" s="19" t="s">
        <v>107</v>
      </c>
      <c r="B17" s="19" t="s">
        <v>106</v>
      </c>
      <c r="C17" s="22">
        <v>6727.9009749396018</v>
      </c>
      <c r="D17" s="22">
        <v>15200.310658799526</v>
      </c>
      <c r="E17" s="22">
        <v>16364.046427543697</v>
      </c>
      <c r="F17" s="22"/>
      <c r="G17" s="23" t="s">
        <v>90</v>
      </c>
      <c r="H17" s="21">
        <v>3.6242013714041758E-4</v>
      </c>
      <c r="I17" s="21">
        <v>8.188138758371857E-4</v>
      </c>
      <c r="J17" s="21">
        <v>8.8150226534744523E-4</v>
      </c>
    </row>
    <row r="18" spans="1:13" x14ac:dyDescent="0.25">
      <c r="A18" s="19" t="s">
        <v>105</v>
      </c>
      <c r="B18" s="19" t="s">
        <v>94</v>
      </c>
      <c r="C18" s="22">
        <v>266.63926110882778</v>
      </c>
      <c r="D18" s="22">
        <v>266.63926110882778</v>
      </c>
      <c r="E18" s="22">
        <v>266.63926110882778</v>
      </c>
      <c r="F18" s="22"/>
      <c r="G18" s="23" t="s">
        <v>90</v>
      </c>
      <c r="H18" s="21">
        <v>0</v>
      </c>
      <c r="I18" s="21">
        <v>3.484366950773775E-6</v>
      </c>
      <c r="J18" s="21">
        <v>3.484366950773775E-6</v>
      </c>
      <c r="K18" s="21"/>
      <c r="L18" s="21"/>
      <c r="M18" s="21"/>
    </row>
    <row r="19" spans="1:13" x14ac:dyDescent="0.25">
      <c r="A19" s="23" t="s">
        <v>104</v>
      </c>
      <c r="B19" s="23" t="s">
        <v>103</v>
      </c>
      <c r="C19" s="22">
        <v>6167.4822789500304</v>
      </c>
      <c r="D19" s="22">
        <v>6167.4822789500304</v>
      </c>
      <c r="E19" s="22">
        <v>6167.4822789500304</v>
      </c>
      <c r="F19" s="22"/>
      <c r="G19" s="23" t="s">
        <v>90</v>
      </c>
      <c r="H19" s="21">
        <v>6.2336285892586807E-4</v>
      </c>
      <c r="I19" s="21">
        <v>6.2336285892586807E-4</v>
      </c>
      <c r="J19" s="21">
        <v>6.2336285892586807E-4</v>
      </c>
    </row>
    <row r="20" spans="1:13" x14ac:dyDescent="0.25">
      <c r="G20" s="23"/>
      <c r="H20" s="21"/>
      <c r="I20" s="21"/>
      <c r="J20" s="21"/>
    </row>
    <row r="21" spans="1:13" x14ac:dyDescent="0.25">
      <c r="A21" s="24" t="s">
        <v>102</v>
      </c>
      <c r="G21" s="23"/>
      <c r="H21" s="21"/>
      <c r="I21" s="21"/>
      <c r="J21" s="21"/>
    </row>
    <row r="22" spans="1:13" x14ac:dyDescent="0.25">
      <c r="A22" s="19" t="s">
        <v>101</v>
      </c>
      <c r="B22" s="19" t="s">
        <v>100</v>
      </c>
      <c r="C22" s="22">
        <v>10757.058940165556</v>
      </c>
      <c r="D22" s="22">
        <v>7990.407652952963</v>
      </c>
      <c r="E22" s="22">
        <v>5797.6041066401167</v>
      </c>
      <c r="F22" s="22"/>
      <c r="G22" s="23" t="s">
        <v>90</v>
      </c>
      <c r="H22" s="21">
        <v>1.5597735463240051E-10</v>
      </c>
      <c r="I22" s="21">
        <v>6.112661854509017E-10</v>
      </c>
      <c r="J22" s="21">
        <v>3.9539660007285609E-9</v>
      </c>
    </row>
    <row r="23" spans="1:13" x14ac:dyDescent="0.25">
      <c r="A23" s="31" t="s">
        <v>99</v>
      </c>
      <c r="B23" s="19" t="s">
        <v>98</v>
      </c>
      <c r="C23" s="30">
        <v>0.64988836189570243</v>
      </c>
      <c r="D23" s="30">
        <v>0.64988836189570243</v>
      </c>
      <c r="E23" s="30">
        <v>0.64988836189570243</v>
      </c>
      <c r="F23" s="30"/>
      <c r="G23" s="23" t="s">
        <v>90</v>
      </c>
      <c r="H23" s="21">
        <v>4.8963522257840747E-7</v>
      </c>
      <c r="I23" s="21">
        <v>4.8963522257840747E-7</v>
      </c>
      <c r="J23" s="21">
        <v>4.8963522257840747E-7</v>
      </c>
    </row>
    <row r="24" spans="1:13" x14ac:dyDescent="0.25">
      <c r="A24" s="19" t="s">
        <v>97</v>
      </c>
      <c r="B24" s="19" t="s">
        <v>96</v>
      </c>
      <c r="C24" s="22">
        <v>12.570526256363966</v>
      </c>
      <c r="D24" s="22">
        <v>25.174703491092206</v>
      </c>
      <c r="E24" s="22">
        <v>290.34738158381907</v>
      </c>
      <c r="F24" s="22"/>
      <c r="G24" s="23" t="s">
        <v>90</v>
      </c>
      <c r="H24" s="21">
        <v>8.7365157481729692E-9</v>
      </c>
      <c r="I24" s="21">
        <v>1.7496418926309127E-8</v>
      </c>
      <c r="J24" s="21">
        <v>2.0179143020075452E-7</v>
      </c>
    </row>
    <row r="25" spans="1:13" x14ac:dyDescent="0.25">
      <c r="A25" s="19" t="s">
        <v>95</v>
      </c>
      <c r="B25" s="19" t="s">
        <v>94</v>
      </c>
      <c r="C25" s="22">
        <v>266.63926110882778</v>
      </c>
      <c r="D25" s="22">
        <v>266.63926110882778</v>
      </c>
      <c r="E25" s="22">
        <v>266.63926110882778</v>
      </c>
      <c r="F25" s="22"/>
      <c r="G25" s="23" t="s">
        <v>90</v>
      </c>
      <c r="H25" s="21">
        <v>6.1571059952616243E-10</v>
      </c>
      <c r="I25" s="21">
        <v>6.1571059952616243E-10</v>
      </c>
      <c r="J25" s="21">
        <v>6.1571059952616243E-10</v>
      </c>
    </row>
    <row r="26" spans="1:13" x14ac:dyDescent="0.25">
      <c r="C26" s="22"/>
      <c r="D26" s="22"/>
      <c r="E26" s="22"/>
      <c r="F26" s="22"/>
      <c r="G26" s="23"/>
      <c r="H26" s="21"/>
      <c r="I26" s="21"/>
      <c r="J26" s="21"/>
    </row>
    <row r="27" spans="1:13" x14ac:dyDescent="0.25">
      <c r="A27" s="24" t="s">
        <v>93</v>
      </c>
      <c r="C27" s="22"/>
      <c r="D27" s="22"/>
      <c r="E27" s="22"/>
      <c r="F27" s="22"/>
      <c r="G27" s="23"/>
      <c r="H27" s="21"/>
      <c r="I27" s="21"/>
      <c r="J27" s="21"/>
    </row>
    <row r="28" spans="1:13" x14ac:dyDescent="0.25">
      <c r="A28" s="19" t="s">
        <v>92</v>
      </c>
      <c r="B28" s="19" t="s">
        <v>91</v>
      </c>
      <c r="C28" s="22">
        <v>8.797395430610127</v>
      </c>
      <c r="D28" s="22">
        <v>43.442842025376152</v>
      </c>
      <c r="E28" s="22">
        <v>2463104.8900561393</v>
      </c>
      <c r="F28" s="22"/>
      <c r="G28" s="23" t="s">
        <v>90</v>
      </c>
      <c r="H28" s="21">
        <v>9.2372652021406274E-10</v>
      </c>
      <c r="I28" s="21">
        <v>4.561498412664492E-9</v>
      </c>
      <c r="J28" s="21">
        <v>2.586260134558942E-4</v>
      </c>
    </row>
    <row r="29" spans="1:13" x14ac:dyDescent="0.25">
      <c r="A29" s="19" t="s">
        <v>89</v>
      </c>
      <c r="B29" s="19" t="s">
        <v>88</v>
      </c>
      <c r="C29" s="22">
        <v>4.6177855678795483</v>
      </c>
      <c r="D29" s="22">
        <v>4.6177855678795483</v>
      </c>
      <c r="E29" s="22">
        <v>4.6177855678795483</v>
      </c>
      <c r="F29" s="22"/>
      <c r="G29" s="23" t="s">
        <v>87</v>
      </c>
      <c r="H29" s="21">
        <v>6.123435058773402E-9</v>
      </c>
      <c r="I29" s="21">
        <v>6.123435058773402E-9</v>
      </c>
      <c r="J29" s="21">
        <v>6.123435058773402E-9</v>
      </c>
    </row>
    <row r="30" spans="1:13" x14ac:dyDescent="0.25">
      <c r="C30" s="22"/>
      <c r="D30" s="22"/>
      <c r="E30" s="22"/>
      <c r="F30" s="22"/>
      <c r="G30" s="23"/>
      <c r="H30" s="21"/>
      <c r="I30" s="21"/>
      <c r="J30" s="21"/>
    </row>
    <row r="31" spans="1:13" x14ac:dyDescent="0.25">
      <c r="A31" s="24" t="s">
        <v>86</v>
      </c>
      <c r="C31" s="22"/>
      <c r="D31" s="22"/>
      <c r="E31" s="22"/>
      <c r="F31" s="22"/>
      <c r="G31" s="23"/>
      <c r="H31" s="21"/>
      <c r="I31" s="21"/>
      <c r="J31" s="21"/>
    </row>
    <row r="32" spans="1:13" x14ac:dyDescent="0.25">
      <c r="A32" s="19" t="s">
        <v>59</v>
      </c>
      <c r="B32" s="19" t="s">
        <v>85</v>
      </c>
      <c r="C32" s="22">
        <v>193174.20515486065</v>
      </c>
      <c r="D32" s="22">
        <v>120051.20954550793</v>
      </c>
      <c r="E32" s="22">
        <v>120051.20954550793</v>
      </c>
      <c r="F32" s="22"/>
      <c r="G32" s="23" t="s">
        <v>84</v>
      </c>
      <c r="H32" s="21">
        <v>30799.37230265946</v>
      </c>
      <c r="I32" s="21">
        <v>27741.958321377344</v>
      </c>
      <c r="J32" s="21">
        <v>27741.958321377344</v>
      </c>
    </row>
    <row r="33" spans="1:11" x14ac:dyDescent="0.25">
      <c r="A33" s="19" t="s">
        <v>61</v>
      </c>
      <c r="C33" s="24"/>
      <c r="D33" s="19"/>
      <c r="E33" s="19"/>
      <c r="F33" s="19"/>
      <c r="G33" s="23" t="s">
        <v>84</v>
      </c>
      <c r="H33" s="21">
        <v>291.35213967771415</v>
      </c>
      <c r="I33" s="21">
        <v>291.35213967771415</v>
      </c>
      <c r="J33" s="21">
        <v>291.35213967771415</v>
      </c>
    </row>
    <row r="34" spans="1:11" x14ac:dyDescent="0.25">
      <c r="A34" s="29" t="s">
        <v>83</v>
      </c>
      <c r="B34" s="19" t="s">
        <v>78</v>
      </c>
      <c r="C34" s="28">
        <v>569.90476351079815</v>
      </c>
      <c r="D34" s="28">
        <v>569.90476351079815</v>
      </c>
      <c r="E34" s="28">
        <v>569.90476351079815</v>
      </c>
      <c r="F34" s="28"/>
      <c r="G34" s="27"/>
    </row>
    <row r="35" spans="1:11" x14ac:dyDescent="0.25">
      <c r="A35" s="29" t="s">
        <v>82</v>
      </c>
      <c r="B35" s="19" t="s">
        <v>78</v>
      </c>
      <c r="C35" s="28">
        <v>0.40197862708700571</v>
      </c>
      <c r="D35" s="28">
        <v>0.40197862708700571</v>
      </c>
      <c r="E35" s="28">
        <v>0.40197862708700571</v>
      </c>
      <c r="F35" s="28"/>
      <c r="G35" s="27"/>
    </row>
    <row r="36" spans="1:11" x14ac:dyDescent="0.25">
      <c r="A36" s="29" t="s">
        <v>81</v>
      </c>
      <c r="B36" s="19" t="s">
        <v>78</v>
      </c>
      <c r="C36" s="28">
        <v>381.51426061712181</v>
      </c>
      <c r="D36" s="28">
        <v>381.51426061712181</v>
      </c>
      <c r="E36" s="28">
        <v>381.51426061712181</v>
      </c>
      <c r="F36" s="28"/>
      <c r="G36" s="27"/>
    </row>
    <row r="37" spans="1:11" x14ac:dyDescent="0.25">
      <c r="A37" s="29" t="s">
        <v>80</v>
      </c>
      <c r="B37" s="19" t="s">
        <v>78</v>
      </c>
      <c r="C37" s="28">
        <v>31.456422722840287</v>
      </c>
      <c r="D37" s="28">
        <v>31.456422722840287</v>
      </c>
      <c r="E37" s="28">
        <v>31.456422722840287</v>
      </c>
      <c r="F37" s="28"/>
      <c r="G37" s="27"/>
    </row>
    <row r="38" spans="1:11" x14ac:dyDescent="0.25">
      <c r="A38" s="29" t="s">
        <v>79</v>
      </c>
      <c r="B38" s="19" t="s">
        <v>78</v>
      </c>
      <c r="E38" s="28"/>
      <c r="F38" s="28"/>
      <c r="G38" s="27"/>
    </row>
    <row r="42" spans="1:11" x14ac:dyDescent="0.25">
      <c r="A42" s="19" t="s">
        <v>77</v>
      </c>
    </row>
    <row r="43" spans="1:11" x14ac:dyDescent="0.25">
      <c r="A43" s="26">
        <v>6895889018</v>
      </c>
      <c r="B43" s="25"/>
    </row>
    <row r="44" spans="1:11" x14ac:dyDescent="0.25">
      <c r="B44" s="24"/>
    </row>
    <row r="47" spans="1:11" x14ac:dyDescent="0.25">
      <c r="A47" s="24"/>
    </row>
    <row r="48" spans="1:11" x14ac:dyDescent="0.25">
      <c r="C48" s="19"/>
      <c r="D48" s="22"/>
      <c r="E48" s="22"/>
      <c r="F48" s="22"/>
      <c r="G48" s="22"/>
      <c r="H48" s="23"/>
      <c r="I48" s="21"/>
      <c r="J48" s="21"/>
      <c r="K48" s="21"/>
    </row>
    <row r="49" spans="3:11" x14ac:dyDescent="0.25">
      <c r="D49" s="22"/>
      <c r="E49" s="22"/>
      <c r="F49" s="22"/>
      <c r="I49" s="21"/>
      <c r="J49" s="21"/>
      <c r="K49" s="21"/>
    </row>
    <row r="50" spans="3:11" x14ac:dyDescent="0.25">
      <c r="D50" s="22"/>
      <c r="E50" s="22"/>
      <c r="F50" s="22"/>
      <c r="I50" s="21"/>
      <c r="J50" s="21"/>
      <c r="K50" s="21"/>
    </row>
    <row r="51" spans="3:11" x14ac:dyDescent="0.25">
      <c r="C51" s="19"/>
      <c r="D51" s="21"/>
      <c r="E51" s="21"/>
      <c r="F51" s="21"/>
      <c r="G51" s="22"/>
      <c r="H51" s="23"/>
      <c r="I51" s="21"/>
      <c r="J51" s="21"/>
      <c r="K51" s="21"/>
    </row>
    <row r="52" spans="3:11" x14ac:dyDescent="0.25">
      <c r="D52" s="21"/>
      <c r="E52" s="21"/>
      <c r="F52" s="21"/>
      <c r="I52" s="21"/>
      <c r="J52" s="21"/>
      <c r="K52" s="21"/>
    </row>
    <row r="53" spans="3:11" x14ac:dyDescent="0.25">
      <c r="D53" s="21"/>
      <c r="E53" s="21"/>
      <c r="F53" s="21"/>
      <c r="I53" s="21"/>
      <c r="J53" s="21"/>
      <c r="K53" s="21"/>
    </row>
    <row r="54" spans="3:11" x14ac:dyDescent="0.25">
      <c r="C54" s="19"/>
      <c r="D54" s="22"/>
      <c r="E54" s="22"/>
      <c r="F54" s="22"/>
      <c r="G54" s="22"/>
      <c r="H54" s="23"/>
      <c r="I54" s="21"/>
      <c r="J54" s="21"/>
      <c r="K54" s="21"/>
    </row>
    <row r="55" spans="3:11" x14ac:dyDescent="0.25">
      <c r="D55" s="22"/>
      <c r="E55" s="22"/>
      <c r="F55" s="22"/>
      <c r="I55" s="21"/>
      <c r="J55" s="21"/>
      <c r="K55" s="21"/>
    </row>
    <row r="56" spans="3:11" x14ac:dyDescent="0.25">
      <c r="D56" s="22"/>
      <c r="E56" s="22"/>
      <c r="F56" s="22"/>
      <c r="I56" s="21"/>
      <c r="J56" s="21"/>
      <c r="K56" s="21"/>
    </row>
    <row r="57" spans="3:11" x14ac:dyDescent="0.25">
      <c r="C57" s="19"/>
      <c r="D57" s="22"/>
      <c r="E57" s="22"/>
      <c r="F57" s="22"/>
      <c r="G57" s="22"/>
      <c r="H57" s="23"/>
      <c r="I57" s="21"/>
      <c r="J57" s="21"/>
      <c r="K57" s="21"/>
    </row>
    <row r="58" spans="3:11" x14ac:dyDescent="0.25">
      <c r="D58" s="22"/>
      <c r="E58" s="22"/>
      <c r="F58" s="22"/>
      <c r="I58" s="21"/>
      <c r="J58" s="21"/>
      <c r="K58" s="21"/>
    </row>
    <row r="59" spans="3:11" x14ac:dyDescent="0.25">
      <c r="D59" s="22"/>
      <c r="E59" s="22"/>
      <c r="F59" s="22"/>
      <c r="I59" s="21"/>
      <c r="J59" s="21"/>
      <c r="K59" s="21"/>
    </row>
    <row r="60" spans="3:11" x14ac:dyDescent="0.25">
      <c r="C60" s="19"/>
      <c r="D60" s="22"/>
      <c r="E60" s="22"/>
      <c r="F60" s="22"/>
      <c r="G60" s="22"/>
      <c r="H60" s="23"/>
      <c r="I60" s="21"/>
      <c r="J60" s="21"/>
      <c r="K60" s="21"/>
    </row>
    <row r="61" spans="3:11" x14ac:dyDescent="0.25">
      <c r="D61" s="22"/>
      <c r="E61" s="22"/>
      <c r="F61" s="22"/>
      <c r="I61" s="21"/>
      <c r="J61" s="21"/>
      <c r="K61" s="21"/>
    </row>
    <row r="62" spans="3:11" x14ac:dyDescent="0.25">
      <c r="D62" s="22"/>
      <c r="E62" s="22"/>
      <c r="F62" s="22"/>
      <c r="I62" s="21"/>
      <c r="J62" s="21"/>
      <c r="K62" s="2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68F2-230B-1842-A630-B6F7B0660841}">
  <dimension ref="B4:F161"/>
  <sheetViews>
    <sheetView tabSelected="1" zoomScale="60" zoomScaleNormal="60" workbookViewId="0">
      <selection activeCell="I26" sqref="I26"/>
    </sheetView>
  </sheetViews>
  <sheetFormatPr baseColWidth="10" defaultRowHeight="15" x14ac:dyDescent="0.25"/>
  <sheetData>
    <row r="4" spans="2:6" x14ac:dyDescent="0.25">
      <c r="B4" s="53" t="s">
        <v>143</v>
      </c>
      <c r="C4" s="53"/>
    </row>
    <row r="5" spans="2:6" x14ac:dyDescent="0.25">
      <c r="C5" t="s">
        <v>144</v>
      </c>
      <c r="D5" t="s">
        <v>145</v>
      </c>
      <c r="E5" t="s">
        <v>146</v>
      </c>
      <c r="F5" t="s">
        <v>147</v>
      </c>
    </row>
    <row r="6" spans="2:6" x14ac:dyDescent="0.25">
      <c r="B6" t="s">
        <v>136</v>
      </c>
      <c r="C6" s="51">
        <f>Cerceda_1habeq_ReCiPe!B39</f>
        <v>5.2493077970682748E-4</v>
      </c>
      <c r="D6" s="51">
        <f>Cerceda_1kgPO4eq_ReCiPe!B39</f>
        <v>6.2457038473821377E-2</v>
      </c>
      <c r="E6" s="51">
        <f>Vedra_1habeq_ReCiPe!B39</f>
        <v>1.5616360356018316E-4</v>
      </c>
      <c r="F6" s="51">
        <f>Vedra_1kgPO4eq_ReCiPe!B39</f>
        <v>5.1721953077984327E-3</v>
      </c>
    </row>
    <row r="7" spans="2:6" x14ac:dyDescent="0.25">
      <c r="B7" t="s">
        <v>137</v>
      </c>
      <c r="C7" s="51">
        <f>Cerceda_1habeq_ReCiPe!B40</f>
        <v>1.4255040368743772E-2</v>
      </c>
      <c r="D7" s="51">
        <f>Cerceda_1kgPO4eq_ReCiPe!B40</f>
        <v>1.7147385844429743</v>
      </c>
      <c r="E7" s="51">
        <f>Vedra_1habeq_ReCiPe!B40</f>
        <v>6.8202886524552648E-4</v>
      </c>
      <c r="F7" s="51">
        <f>Vedra_1kgPO4eq_ReCiPe!B40</f>
        <v>2.2812922186748328E-2</v>
      </c>
    </row>
    <row r="8" spans="2:6" x14ac:dyDescent="0.25">
      <c r="B8" t="s">
        <v>138</v>
      </c>
      <c r="C8" s="51">
        <f>Cerceda_1habeq_ReCiPe!B41</f>
        <v>2.0665210911652958E-3</v>
      </c>
      <c r="D8" s="51">
        <f>Cerceda_1kgPO4eq_ReCiPe!B41</f>
        <v>0.24869881864834056</v>
      </c>
      <c r="E8" s="51">
        <f>Vedra_1habeq_ReCiPe!B41</f>
        <v>2.5776132834738158E-4</v>
      </c>
      <c r="F8" s="51">
        <f>Vedra_1kgPO4eq_ReCiPe!B41</f>
        <v>8.5518995586739404E-3</v>
      </c>
    </row>
    <row r="9" spans="2:6" x14ac:dyDescent="0.25">
      <c r="B9" t="s">
        <v>139</v>
      </c>
      <c r="C9" s="51">
        <f>Cerceda_1habeq_ReCiPe!B42</f>
        <v>1.6047439313932057E-4</v>
      </c>
      <c r="D9" s="51">
        <f>Cerceda_1kgPO4eq_ReCiPe!B42</f>
        <v>1.9311178911338291E-2</v>
      </c>
      <c r="E9" s="51">
        <f>Vedra_1habeq_ReCiPe!B42</f>
        <v>8.2777153720315594E-5</v>
      </c>
      <c r="F9" s="51">
        <f>Vedra_1kgPO4eq_ReCiPe!B42</f>
        <v>2.7464949590245476E-3</v>
      </c>
    </row>
    <row r="10" spans="2:6" x14ac:dyDescent="0.25">
      <c r="B10" t="s">
        <v>140</v>
      </c>
      <c r="C10" s="51">
        <f>Cerceda_1habeq_ReCiPe!B43</f>
        <v>0.10095001411493257</v>
      </c>
      <c r="D10" s="51">
        <f>Cerceda_1kgPO4eq_ReCiPe!B43</f>
        <v>12.147101237430817</v>
      </c>
      <c r="E10" s="51">
        <f>Vedra_1habeq_ReCiPe!B43</f>
        <v>1.0636856402092317E-3</v>
      </c>
      <c r="F10" s="51">
        <f>Vedra_1kgPO4eq_ReCiPe!B43</f>
        <v>3.5267651645397018E-2</v>
      </c>
    </row>
    <row r="11" spans="2:6" x14ac:dyDescent="0.25">
      <c r="B11" t="s">
        <v>141</v>
      </c>
      <c r="C11" s="51">
        <f>Cerceda_1habeq_ReCiPe!B44</f>
        <v>7.4335648927955661E-2</v>
      </c>
      <c r="D11" s="51">
        <f>Cerceda_1kgPO4eq_ReCiPe!B44</f>
        <v>8.9446510659689142</v>
      </c>
      <c r="E11" s="51">
        <f>Vedra_1habeq_ReCiPe!B44</f>
        <v>8.0364597646734445E-4</v>
      </c>
      <c r="F11" s="51">
        <f>Vedra_1kgPO4eq_ReCiPe!B44</f>
        <v>2.6645024980728741E-2</v>
      </c>
    </row>
    <row r="12" spans="2:6" x14ac:dyDescent="0.25">
      <c r="B12" t="s">
        <v>142</v>
      </c>
      <c r="C12" s="51">
        <f>Cerceda_1habeq_ReCiPe!B45</f>
        <v>-4.2814419690206848E-6</v>
      </c>
      <c r="D12" s="51">
        <f>Cerceda_1kgPO4eq_ReCiPe!B45</f>
        <v>-5.1452007483626324E-4</v>
      </c>
      <c r="E12" s="51">
        <f>Vedra_1habeq_ReCiPe!B45</f>
        <v>2.5525736726453389E-5</v>
      </c>
      <c r="F12" s="51">
        <f>Vedra_1kgPO4eq_ReCiPe!B45</f>
        <v>8.4654724312288024E-4</v>
      </c>
    </row>
    <row r="13" spans="2:6" x14ac:dyDescent="0.25">
      <c r="C13" s="51"/>
      <c r="D13" s="51"/>
      <c r="E13" s="51"/>
      <c r="F13" s="51"/>
    </row>
    <row r="14" spans="2:6" x14ac:dyDescent="0.25">
      <c r="B14" t="str">
        <f>B4</f>
        <v>Normalized impacts</v>
      </c>
      <c r="E14" s="51"/>
      <c r="F14" s="51"/>
    </row>
    <row r="15" spans="2:6" x14ac:dyDescent="0.25">
      <c r="C15" t="s">
        <v>153</v>
      </c>
      <c r="D15" t="s">
        <v>154</v>
      </c>
      <c r="E15" s="51"/>
      <c r="F15" s="51"/>
    </row>
    <row r="16" spans="2:6" x14ac:dyDescent="0.25">
      <c r="B16" t="str">
        <f>B6</f>
        <v>GWP</v>
      </c>
      <c r="C16">
        <f>C6</f>
        <v>5.2493077970682748E-4</v>
      </c>
      <c r="D16">
        <f>E6</f>
        <v>1.5616360356018316E-4</v>
      </c>
      <c r="E16" s="51"/>
      <c r="F16" s="51"/>
    </row>
    <row r="17" spans="2:6" x14ac:dyDescent="0.25">
      <c r="B17" t="str">
        <f>B7</f>
        <v>FEU</v>
      </c>
      <c r="C17">
        <f>C7</f>
        <v>1.4255040368743772E-2</v>
      </c>
      <c r="D17">
        <f>E7</f>
        <v>6.8202886524552648E-4</v>
      </c>
      <c r="E17" s="51"/>
      <c r="F17" s="51"/>
    </row>
    <row r="18" spans="2:6" x14ac:dyDescent="0.25">
      <c r="B18" t="str">
        <f>B8</f>
        <v>MEU</v>
      </c>
      <c r="C18">
        <f>C8</f>
        <v>2.0665210911652958E-3</v>
      </c>
      <c r="D18">
        <f>E8</f>
        <v>2.5776132834738158E-4</v>
      </c>
      <c r="E18" s="51"/>
      <c r="F18" s="51"/>
    </row>
    <row r="19" spans="2:6" x14ac:dyDescent="0.25">
      <c r="B19" t="str">
        <f>B9</f>
        <v>TET</v>
      </c>
      <c r="C19">
        <f>C9</f>
        <v>1.6047439313932057E-4</v>
      </c>
      <c r="D19">
        <f>E9</f>
        <v>8.2777153720315594E-5</v>
      </c>
      <c r="E19" s="51"/>
      <c r="F19" s="51"/>
    </row>
    <row r="20" spans="2:6" x14ac:dyDescent="0.25">
      <c r="B20" t="str">
        <f>B10</f>
        <v>FET</v>
      </c>
      <c r="C20">
        <f>C10</f>
        <v>0.10095001411493257</v>
      </c>
      <c r="D20">
        <f>E10</f>
        <v>1.0636856402092317E-3</v>
      </c>
      <c r="E20" s="51"/>
      <c r="F20" s="51"/>
    </row>
    <row r="21" spans="2:6" x14ac:dyDescent="0.25">
      <c r="B21" t="str">
        <f>B11</f>
        <v>MET</v>
      </c>
      <c r="C21">
        <f>C11</f>
        <v>7.4335648927955661E-2</v>
      </c>
      <c r="D21">
        <f>E11</f>
        <v>8.0364597646734445E-4</v>
      </c>
      <c r="E21" s="51"/>
      <c r="F21" s="51"/>
    </row>
    <row r="22" spans="2:6" x14ac:dyDescent="0.25">
      <c r="C22" s="51"/>
      <c r="D22" s="51"/>
      <c r="E22" s="51"/>
      <c r="F22" s="51"/>
    </row>
    <row r="23" spans="2:6" x14ac:dyDescent="0.25">
      <c r="B23" t="str">
        <f>B14</f>
        <v>Normalized impacts</v>
      </c>
      <c r="C23" s="51"/>
      <c r="D23" s="51"/>
      <c r="E23" s="51"/>
      <c r="F23" s="51"/>
    </row>
    <row r="24" spans="2:6" x14ac:dyDescent="0.25">
      <c r="C24" t="str">
        <f t="shared" ref="C24:D24" si="0">C15</f>
        <v>Cerceda</v>
      </c>
      <c r="D24" t="str">
        <f t="shared" si="0"/>
        <v>Vedra</v>
      </c>
      <c r="E24" s="51"/>
      <c r="F24" s="51"/>
    </row>
    <row r="25" spans="2:6" x14ac:dyDescent="0.25">
      <c r="B25" t="str">
        <f>B16</f>
        <v>GWP</v>
      </c>
      <c r="C25">
        <f>C16/$C$20</f>
        <v>5.1999079376966574E-3</v>
      </c>
      <c r="D25">
        <f>D16/MAX($D$16:$D$21)</f>
        <v>0.14681368033648087</v>
      </c>
      <c r="E25" s="51"/>
      <c r="F25" s="51"/>
    </row>
    <row r="26" spans="2:6" x14ac:dyDescent="0.25">
      <c r="B26" t="str">
        <f t="shared" ref="B26:B30" si="1">B17</f>
        <v>FEU</v>
      </c>
      <c r="C26">
        <f t="shared" ref="C26:C30" si="2">C17/$C$20</f>
        <v>0.14120889921336979</v>
      </c>
      <c r="D26">
        <f t="shared" ref="D26:D30" si="3">D17/MAX($D$16:$D$21)</f>
        <v>0.6411940139676684</v>
      </c>
      <c r="E26" s="51"/>
      <c r="F26" s="51"/>
    </row>
    <row r="27" spans="2:6" x14ac:dyDescent="0.25">
      <c r="B27" t="str">
        <f t="shared" si="1"/>
        <v>MEU</v>
      </c>
      <c r="C27">
        <f t="shared" si="2"/>
        <v>2.0470736029937962E-2</v>
      </c>
      <c r="D27">
        <f t="shared" si="3"/>
        <v>0.24232848372069662</v>
      </c>
      <c r="E27" s="51"/>
      <c r="F27" s="51"/>
    </row>
    <row r="28" spans="2:6" x14ac:dyDescent="0.25">
      <c r="B28" t="str">
        <f t="shared" si="1"/>
        <v>TET</v>
      </c>
      <c r="C28">
        <f t="shared" si="2"/>
        <v>1.5896421069997962E-3</v>
      </c>
      <c r="D28">
        <f t="shared" si="3"/>
        <v>7.7821069112141969E-2</v>
      </c>
      <c r="E28" s="51"/>
      <c r="F28" s="51"/>
    </row>
    <row r="29" spans="2:6" x14ac:dyDescent="0.25">
      <c r="B29" t="str">
        <f t="shared" si="1"/>
        <v>FET</v>
      </c>
      <c r="C29">
        <f t="shared" si="2"/>
        <v>1</v>
      </c>
      <c r="D29">
        <f t="shared" si="3"/>
        <v>1</v>
      </c>
      <c r="E29" s="51"/>
      <c r="F29" s="55"/>
    </row>
    <row r="30" spans="2:6" x14ac:dyDescent="0.25">
      <c r="B30" t="str">
        <f t="shared" si="1"/>
        <v>MET</v>
      </c>
      <c r="C30">
        <f t="shared" si="2"/>
        <v>0.73636095625825082</v>
      </c>
      <c r="D30">
        <f t="shared" si="3"/>
        <v>0.75552959078141135</v>
      </c>
      <c r="E30" s="51"/>
      <c r="F30" s="51"/>
    </row>
    <row r="31" spans="2:6" x14ac:dyDescent="0.25">
      <c r="C31" s="51"/>
      <c r="D31" s="51"/>
      <c r="E31" s="51"/>
      <c r="F31" s="51"/>
    </row>
    <row r="32" spans="2:6" x14ac:dyDescent="0.25">
      <c r="C32" s="51"/>
      <c r="D32" s="51"/>
      <c r="E32" s="51"/>
      <c r="F32" s="51"/>
    </row>
    <row r="33" spans="2:6" x14ac:dyDescent="0.25">
      <c r="C33" s="51"/>
      <c r="D33" s="51"/>
      <c r="E33" s="51"/>
      <c r="F33" s="51"/>
    </row>
    <row r="34" spans="2:6" x14ac:dyDescent="0.25">
      <c r="C34" s="51"/>
      <c r="D34" s="51"/>
      <c r="E34" s="51"/>
      <c r="F34" s="51"/>
    </row>
    <row r="35" spans="2:6" x14ac:dyDescent="0.25">
      <c r="B35" t="s">
        <v>155</v>
      </c>
      <c r="C35" t="s">
        <v>153</v>
      </c>
      <c r="D35" t="s">
        <v>154</v>
      </c>
      <c r="E35" s="51"/>
      <c r="F35" s="51"/>
    </row>
    <row r="36" spans="2:6" x14ac:dyDescent="0.25">
      <c r="B36" t="s">
        <v>136</v>
      </c>
      <c r="C36" s="51">
        <f>C25</f>
        <v>5.1999079376966574E-3</v>
      </c>
      <c r="D36" s="51">
        <f>D25</f>
        <v>0.14681368033648087</v>
      </c>
      <c r="E36" s="51"/>
      <c r="F36" s="51"/>
    </row>
    <row r="37" spans="2:6" x14ac:dyDescent="0.25">
      <c r="B37" t="s">
        <v>137</v>
      </c>
      <c r="C37" s="51">
        <f t="shared" ref="C37:D41" si="4">C26</f>
        <v>0.14120889921336979</v>
      </c>
      <c r="D37" s="51">
        <f t="shared" si="4"/>
        <v>0.6411940139676684</v>
      </c>
      <c r="E37" s="51"/>
      <c r="F37" s="51"/>
    </row>
    <row r="38" spans="2:6" x14ac:dyDescent="0.25">
      <c r="B38" t="s">
        <v>138</v>
      </c>
      <c r="C38" s="51">
        <f t="shared" si="4"/>
        <v>2.0470736029937962E-2</v>
      </c>
      <c r="D38" s="51">
        <f t="shared" si="4"/>
        <v>0.24232848372069662</v>
      </c>
      <c r="E38" s="51"/>
      <c r="F38" s="51"/>
    </row>
    <row r="39" spans="2:6" x14ac:dyDescent="0.25">
      <c r="B39" t="s">
        <v>139</v>
      </c>
      <c r="C39" s="51">
        <f t="shared" si="4"/>
        <v>1.5896421069997962E-3</v>
      </c>
      <c r="D39" s="51">
        <f t="shared" si="4"/>
        <v>7.7821069112141969E-2</v>
      </c>
      <c r="E39" s="51"/>
      <c r="F39" s="51"/>
    </row>
    <row r="40" spans="2:6" x14ac:dyDescent="0.25">
      <c r="B40" t="s">
        <v>140</v>
      </c>
      <c r="C40" s="51">
        <f t="shared" si="4"/>
        <v>1</v>
      </c>
      <c r="D40" s="51">
        <f t="shared" si="4"/>
        <v>1</v>
      </c>
      <c r="E40" s="51"/>
      <c r="F40" s="51"/>
    </row>
    <row r="41" spans="2:6" x14ac:dyDescent="0.25">
      <c r="B41" t="s">
        <v>141</v>
      </c>
      <c r="C41" s="51">
        <f t="shared" si="4"/>
        <v>0.73636095625825082</v>
      </c>
      <c r="D41" s="51">
        <f t="shared" si="4"/>
        <v>0.75552959078141135</v>
      </c>
      <c r="E41" s="51"/>
      <c r="F41" s="51"/>
    </row>
    <row r="42" spans="2:6" x14ac:dyDescent="0.25">
      <c r="C42" s="51"/>
      <c r="D42" s="51"/>
      <c r="E42" s="51"/>
      <c r="F42" s="51"/>
    </row>
    <row r="43" spans="2:6" x14ac:dyDescent="0.25">
      <c r="C43" s="51"/>
      <c r="D43" s="51"/>
      <c r="E43" s="51"/>
      <c r="F43" s="51"/>
    </row>
    <row r="44" spans="2:6" x14ac:dyDescent="0.25">
      <c r="C44" s="51"/>
      <c r="D44" s="51"/>
      <c r="E44" s="51"/>
      <c r="F44" s="51"/>
    </row>
    <row r="45" spans="2:6" x14ac:dyDescent="0.25">
      <c r="C45" s="51"/>
      <c r="D45" s="51"/>
      <c r="E45" s="51"/>
      <c r="F45" s="51"/>
    </row>
    <row r="46" spans="2:6" x14ac:dyDescent="0.25">
      <c r="C46" s="51"/>
      <c r="D46" s="51"/>
      <c r="E46" s="51"/>
      <c r="F46" s="51"/>
    </row>
    <row r="47" spans="2:6" x14ac:dyDescent="0.25">
      <c r="C47" s="51"/>
      <c r="D47" s="51"/>
      <c r="E47" s="51"/>
      <c r="F47" s="51"/>
    </row>
    <row r="48" spans="2:6" x14ac:dyDescent="0.25">
      <c r="C48" s="51"/>
      <c r="D48" s="51"/>
      <c r="E48" s="51"/>
      <c r="F48" s="51"/>
    </row>
    <row r="49" spans="3:6" x14ac:dyDescent="0.25">
      <c r="C49" s="51"/>
      <c r="D49" s="51"/>
      <c r="E49" s="51"/>
      <c r="F49" s="51"/>
    </row>
    <row r="50" spans="3:6" x14ac:dyDescent="0.25">
      <c r="C50" s="51"/>
      <c r="D50" s="51"/>
      <c r="E50" s="51"/>
      <c r="F50" s="51"/>
    </row>
    <row r="51" spans="3:6" x14ac:dyDescent="0.25">
      <c r="C51" s="51"/>
      <c r="D51" s="51"/>
      <c r="E51" s="51"/>
      <c r="F51" s="51"/>
    </row>
    <row r="52" spans="3:6" x14ac:dyDescent="0.25">
      <c r="C52" s="51"/>
      <c r="D52" s="51"/>
      <c r="E52" s="51"/>
      <c r="F52" s="51"/>
    </row>
    <row r="53" spans="3:6" x14ac:dyDescent="0.25">
      <c r="C53" s="51"/>
      <c r="D53" s="51"/>
      <c r="E53" s="51"/>
      <c r="F53" s="51"/>
    </row>
    <row r="54" spans="3:6" x14ac:dyDescent="0.25">
      <c r="C54" s="51"/>
      <c r="D54" s="51"/>
      <c r="E54" s="51"/>
      <c r="F54" s="51"/>
    </row>
    <row r="55" spans="3:6" x14ac:dyDescent="0.25">
      <c r="C55" s="51"/>
      <c r="D55" s="51"/>
      <c r="E55" s="51"/>
      <c r="F55" s="51"/>
    </row>
    <row r="56" spans="3:6" x14ac:dyDescent="0.25">
      <c r="C56" s="51"/>
      <c r="D56" s="51"/>
      <c r="E56" s="51"/>
      <c r="F56" s="51"/>
    </row>
    <row r="57" spans="3:6" x14ac:dyDescent="0.25">
      <c r="C57" s="51"/>
      <c r="D57" s="51"/>
      <c r="E57" s="51"/>
      <c r="F57" s="51"/>
    </row>
    <row r="58" spans="3:6" x14ac:dyDescent="0.25">
      <c r="C58" s="51"/>
      <c r="D58" s="51"/>
      <c r="E58" s="51"/>
      <c r="F58" s="51"/>
    </row>
    <row r="59" spans="3:6" x14ac:dyDescent="0.25">
      <c r="C59" s="51"/>
      <c r="D59" s="51"/>
      <c r="E59" s="51"/>
      <c r="F59" s="51"/>
    </row>
    <row r="153" spans="2:6" x14ac:dyDescent="0.25">
      <c r="B153" t="s">
        <v>148</v>
      </c>
    </row>
    <row r="154" spans="2:6" x14ac:dyDescent="0.25">
      <c r="C154" t="s">
        <v>144</v>
      </c>
      <c r="D154" t="s">
        <v>145</v>
      </c>
      <c r="E154" t="s">
        <v>146</v>
      </c>
      <c r="F154" t="s">
        <v>147</v>
      </c>
    </row>
    <row r="155" spans="2:6" x14ac:dyDescent="0.25">
      <c r="B155" t="s">
        <v>136</v>
      </c>
      <c r="C155" s="8">
        <f>-LOG(C6)</f>
        <v>3.2798979613051746</v>
      </c>
      <c r="D155" s="8">
        <f>-LOG(D6)</f>
        <v>1.2044186125645167</v>
      </c>
      <c r="E155" s="8">
        <f>-LOG(E6)</f>
        <v>3.8064201779801117</v>
      </c>
      <c r="F155" s="8">
        <f>-LOG(F6)</f>
        <v>2.2863250840434528</v>
      </c>
    </row>
    <row r="156" spans="2:6" x14ac:dyDescent="0.25">
      <c r="B156" t="s">
        <v>137</v>
      </c>
      <c r="C156" s="8">
        <f>-LOG(C7)</f>
        <v>1.8460315484774368</v>
      </c>
      <c r="D156" s="8">
        <f>-LOG(D7)</f>
        <v>-0.23419792030444103</v>
      </c>
      <c r="E156" s="8">
        <f>-LOG(E7)</f>
        <v>3.1661972444761184</v>
      </c>
      <c r="F156" s="8">
        <f>-LOG(F7)</f>
        <v>1.6418190808655977</v>
      </c>
    </row>
    <row r="157" spans="2:6" x14ac:dyDescent="0.25">
      <c r="B157" t="s">
        <v>138</v>
      </c>
      <c r="C157" s="8">
        <f>-LOG(C8)</f>
        <v>2.6847601578974136</v>
      </c>
      <c r="D157" s="8">
        <f>-LOG(D8)</f>
        <v>0.60432627768030689</v>
      </c>
      <c r="E157" s="8">
        <f>-LOG(E8)</f>
        <v>3.5887822388256509</v>
      </c>
      <c r="F157" s="8">
        <f>-LOG(F8)</f>
        <v>2.0679374085207267</v>
      </c>
    </row>
    <row r="158" spans="2:6" x14ac:dyDescent="0.25">
      <c r="B158" t="s">
        <v>139</v>
      </c>
      <c r="C158" s="8">
        <f>-LOG(C9)</f>
        <v>3.7945942579975882</v>
      </c>
      <c r="D158" s="8">
        <f>-LOG(D9)</f>
        <v>1.714191212545805</v>
      </c>
      <c r="E158" s="8">
        <f>-LOG(E9)</f>
        <v>4.082089510827414</v>
      </c>
      <c r="F158" s="8">
        <f>-LOG(F9)</f>
        <v>2.5612211937552498</v>
      </c>
    </row>
    <row r="159" spans="2:6" x14ac:dyDescent="0.25">
      <c r="B159" t="s">
        <v>140</v>
      </c>
      <c r="C159" s="8">
        <f>-LOG(C10)</f>
        <v>0.99589361599684612</v>
      </c>
      <c r="D159" s="8">
        <f>-LOG(D10)</f>
        <v>-1.0844726510381169</v>
      </c>
      <c r="E159" s="8">
        <f>-LOG(E10)</f>
        <v>2.9731867037088415</v>
      </c>
      <c r="F159" s="8">
        <f>-LOG(F10)</f>
        <v>1.4526234575822972</v>
      </c>
    </row>
    <row r="160" spans="2:6" x14ac:dyDescent="0.25">
      <c r="B160" t="s">
        <v>141</v>
      </c>
      <c r="C160" s="8">
        <f>-LOG(C11)</f>
        <v>1.1288028629589002</v>
      </c>
      <c r="D160" s="8">
        <f>-LOG(D11)</f>
        <v>-0.95156340325106903</v>
      </c>
      <c r="E160" s="8">
        <f>-LOG(E11)</f>
        <v>3.0949352252900275</v>
      </c>
      <c r="F160" s="8">
        <f>-LOG(F11)</f>
        <v>1.574383868255212</v>
      </c>
    </row>
    <row r="161" spans="2:6" x14ac:dyDescent="0.25">
      <c r="B161" t="s">
        <v>142</v>
      </c>
      <c r="C161" s="8">
        <f>-LOG(-C12)</f>
        <v>5.368409938061653</v>
      </c>
      <c r="D161" s="8">
        <f>-LOG(-D12)</f>
        <v>3.2885976758665025</v>
      </c>
      <c r="E161" s="8">
        <f>-LOG(E12)</f>
        <v>4.5930217144079073</v>
      </c>
      <c r="F161" s="8">
        <f>-LOG(F12)</f>
        <v>3.0723488002779549</v>
      </c>
    </row>
  </sheetData>
  <mergeCells count="1">
    <mergeCell ref="B4:C4"/>
  </mergeCells>
  <conditionalFormatting sqref="C25:D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Cerceda_1habeq_ReCiPe</vt:lpstr>
      <vt:lpstr>Cerceda_1kgPO4eq_ReCiPe</vt:lpstr>
      <vt:lpstr>Vedra_1habeq_ReCiPe</vt:lpstr>
      <vt:lpstr>Vedra_1kgPO4eq_ReCiPe</vt:lpstr>
      <vt:lpstr>Final normalization scores No I</vt:lpstr>
      <vt:lpstr>Evaluación de Impactos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Galvez</cp:lastModifiedBy>
  <dcterms:created xsi:type="dcterms:W3CDTF">2026-07-24T10:59:57Z</dcterms:created>
  <dcterms:modified xsi:type="dcterms:W3CDTF">2026-07-26T16:03:15Z</dcterms:modified>
</cp:coreProperties>
</file>